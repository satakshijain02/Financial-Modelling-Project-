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33BC5B2-8394-4E86-BEE7-F154F384948B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DATA SHEET" sheetId="6" r:id="rId1"/>
    <sheet name="HISTORICAL FS" sheetId="9" r:id="rId2"/>
    <sheet name="CASH FLOW DATA" sheetId="10" r:id="rId3"/>
    <sheet name="RATIO ANALYSIS " sheetId="14" r:id="rId4"/>
    <sheet name="STATEMENTS" sheetId="15" r:id="rId5"/>
    <sheet name="RAW DATA" sheetId="16" r:id="rId6"/>
    <sheet name="PEER COMPARISON" sheetId="19" r:id="rId7"/>
    <sheet name="DCF MODELLING" sheetId="20" r:id="rId8"/>
    <sheet name="BETA CALCULATION" sheetId="18" r:id="rId9"/>
    <sheet name="BETA CALCULATION (2)" sheetId="21" r:id="rId10"/>
  </sheets>
  <externalReferences>
    <externalReference r:id="rId11"/>
    <externalReference r:id="rId12"/>
    <externalReference r:id="rId13"/>
  </externalReference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1" l="1"/>
  <c r="G5" i="21"/>
  <c r="C6" i="21"/>
  <c r="G6" i="21"/>
  <c r="C7" i="21"/>
  <c r="G7" i="21"/>
  <c r="C8" i="21"/>
  <c r="G8" i="21"/>
  <c r="C9" i="21"/>
  <c r="G9" i="21"/>
  <c r="Q9" i="21"/>
  <c r="C10" i="21"/>
  <c r="G10" i="21"/>
  <c r="C11" i="21"/>
  <c r="G11" i="21"/>
  <c r="C12" i="21"/>
  <c r="G12" i="21"/>
  <c r="C13" i="21"/>
  <c r="G13" i="21"/>
  <c r="C14" i="21"/>
  <c r="G14" i="21"/>
  <c r="C15" i="21"/>
  <c r="G15" i="21"/>
  <c r="C16" i="21"/>
  <c r="G16" i="21"/>
  <c r="C17" i="21"/>
  <c r="G17" i="21"/>
  <c r="C18" i="21"/>
  <c r="G18" i="21"/>
  <c r="C19" i="21"/>
  <c r="G19" i="21"/>
  <c r="C20" i="21"/>
  <c r="G20" i="21"/>
  <c r="C21" i="21"/>
  <c r="G21" i="21"/>
  <c r="C22" i="21"/>
  <c r="G22" i="21"/>
  <c r="C23" i="21"/>
  <c r="G23" i="21"/>
  <c r="C24" i="21"/>
  <c r="G24" i="21"/>
  <c r="C25" i="21"/>
  <c r="G25" i="21"/>
  <c r="C26" i="21"/>
  <c r="G26" i="21"/>
  <c r="C27" i="21"/>
  <c r="G27" i="21"/>
  <c r="C28" i="21"/>
  <c r="G28" i="21"/>
  <c r="C29" i="21"/>
  <c r="G29" i="21"/>
  <c r="C30" i="21"/>
  <c r="G30" i="21"/>
  <c r="C31" i="21"/>
  <c r="G31" i="21"/>
  <c r="C32" i="21"/>
  <c r="G32" i="21"/>
  <c r="C33" i="21"/>
  <c r="G33" i="21"/>
  <c r="C34" i="21"/>
  <c r="G34" i="21"/>
  <c r="C35" i="21"/>
  <c r="G35" i="21"/>
  <c r="C36" i="21"/>
  <c r="G36" i="21"/>
  <c r="C37" i="21"/>
  <c r="G37" i="21"/>
  <c r="C38" i="21"/>
  <c r="G38" i="21"/>
  <c r="C39" i="21"/>
  <c r="G39" i="21"/>
  <c r="C40" i="21"/>
  <c r="G40" i="21"/>
  <c r="C41" i="21"/>
  <c r="G41" i="21"/>
  <c r="C42" i="21"/>
  <c r="G42" i="21"/>
  <c r="C43" i="21"/>
  <c r="G43" i="21"/>
  <c r="C44" i="21"/>
  <c r="G44" i="21"/>
  <c r="C45" i="21"/>
  <c r="G45" i="21"/>
  <c r="C46" i="21"/>
  <c r="G46" i="21"/>
  <c r="C47" i="21"/>
  <c r="G47" i="21"/>
  <c r="C48" i="21"/>
  <c r="G48" i="21"/>
  <c r="C49" i="21"/>
  <c r="G49" i="21"/>
  <c r="C50" i="21"/>
  <c r="G50" i="21"/>
  <c r="C51" i="21"/>
  <c r="G51" i="21"/>
  <c r="C52" i="21"/>
  <c r="G52" i="21"/>
  <c r="C53" i="21"/>
  <c r="G53" i="21"/>
  <c r="C54" i="21"/>
  <c r="G54" i="21"/>
  <c r="C55" i="21"/>
  <c r="G55" i="21"/>
  <c r="C56" i="21"/>
  <c r="G56" i="21"/>
  <c r="C57" i="21"/>
  <c r="G57" i="21"/>
  <c r="C58" i="21"/>
  <c r="G58" i="21"/>
  <c r="C59" i="21"/>
  <c r="G59" i="21"/>
  <c r="C60" i="21"/>
  <c r="G60" i="21"/>
  <c r="C61" i="21"/>
  <c r="G61" i="21"/>
  <c r="C62" i="21"/>
  <c r="G62" i="21"/>
  <c r="C63" i="21"/>
  <c r="G63" i="21"/>
  <c r="C64" i="21"/>
  <c r="G64" i="21"/>
  <c r="C65" i="21"/>
  <c r="G65" i="21"/>
  <c r="C66" i="21"/>
  <c r="G66" i="21"/>
  <c r="C67" i="21"/>
  <c r="G67" i="21"/>
  <c r="C68" i="21"/>
  <c r="G68" i="21"/>
  <c r="C69" i="21"/>
  <c r="G69" i="21"/>
  <c r="C70" i="21"/>
  <c r="G70" i="21"/>
  <c r="C71" i="21"/>
  <c r="G71" i="21"/>
  <c r="C72" i="21"/>
  <c r="G72" i="21"/>
  <c r="C73" i="21"/>
  <c r="G73" i="21"/>
  <c r="C74" i="21"/>
  <c r="G74" i="21"/>
  <c r="C75" i="21"/>
  <c r="G75" i="21"/>
  <c r="C76" i="21"/>
  <c r="G76" i="21"/>
  <c r="C77" i="21"/>
  <c r="G77" i="21"/>
  <c r="C78" i="21"/>
  <c r="G78" i="21"/>
  <c r="C79" i="21"/>
  <c r="G79" i="21"/>
  <c r="C80" i="21"/>
  <c r="G80" i="21"/>
  <c r="C81" i="21"/>
  <c r="G81" i="21"/>
  <c r="C82" i="21"/>
  <c r="G82" i="21"/>
  <c r="C83" i="21"/>
  <c r="G83" i="21"/>
  <c r="C84" i="21"/>
  <c r="G84" i="21"/>
  <c r="C85" i="21"/>
  <c r="G85" i="21"/>
  <c r="C86" i="21"/>
  <c r="G86" i="21"/>
  <c r="C87" i="21"/>
  <c r="G87" i="21"/>
  <c r="C88" i="21"/>
  <c r="G88" i="21"/>
  <c r="C89" i="21"/>
  <c r="G89" i="21"/>
  <c r="C90" i="21"/>
  <c r="G90" i="21"/>
  <c r="C91" i="21"/>
  <c r="G91" i="21"/>
  <c r="C92" i="21"/>
  <c r="G92" i="21"/>
  <c r="C93" i="21"/>
  <c r="G93" i="21"/>
  <c r="C94" i="21"/>
  <c r="G94" i="21"/>
  <c r="C95" i="21"/>
  <c r="G95" i="21"/>
  <c r="C96" i="21"/>
  <c r="G96" i="21"/>
  <c r="C97" i="21"/>
  <c r="G97" i="21"/>
  <c r="C98" i="21"/>
  <c r="G98" i="21"/>
  <c r="C99" i="21"/>
  <c r="G99" i="21"/>
  <c r="C100" i="21"/>
  <c r="G100" i="21"/>
  <c r="C101" i="21"/>
  <c r="G101" i="21"/>
  <c r="C102" i="21"/>
  <c r="G102" i="21"/>
  <c r="C103" i="21"/>
  <c r="G103" i="21"/>
  <c r="C104" i="21"/>
  <c r="G104" i="21"/>
  <c r="C105" i="21"/>
  <c r="G105" i="21"/>
  <c r="C106" i="21"/>
  <c r="G106" i="21"/>
  <c r="C107" i="21"/>
  <c r="G107" i="21"/>
  <c r="C108" i="21"/>
  <c r="G108" i="21"/>
  <c r="D12" i="20"/>
  <c r="E12" i="20"/>
  <c r="G12" i="20"/>
  <c r="H12" i="20"/>
  <c r="I12" i="20"/>
  <c r="J12" i="20"/>
  <c r="D13" i="20"/>
  <c r="E13" i="20"/>
  <c r="G13" i="20"/>
  <c r="H13" i="20"/>
  <c r="I13" i="20"/>
  <c r="J13" i="20"/>
  <c r="D14" i="20"/>
  <c r="E14" i="20"/>
  <c r="G14" i="20"/>
  <c r="H14" i="20"/>
  <c r="I14" i="20"/>
  <c r="J14" i="20"/>
  <c r="D15" i="20"/>
  <c r="E15" i="20"/>
  <c r="G15" i="20"/>
  <c r="H15" i="20"/>
  <c r="I15" i="20"/>
  <c r="J15" i="20"/>
  <c r="D16" i="20"/>
  <c r="E16" i="20"/>
  <c r="G16" i="20"/>
  <c r="H16" i="20"/>
  <c r="I16" i="20"/>
  <c r="J16" i="20"/>
  <c r="F20" i="20"/>
  <c r="G20" i="20"/>
  <c r="H20" i="20"/>
  <c r="I20" i="20"/>
  <c r="J20" i="20"/>
  <c r="F21" i="20"/>
  <c r="G21" i="20"/>
  <c r="H21" i="20"/>
  <c r="I21" i="20"/>
  <c r="J21" i="20"/>
  <c r="K27" i="20"/>
  <c r="K29" i="20"/>
  <c r="K33" i="20"/>
  <c r="C34" i="20"/>
  <c r="C26" i="20" s="1"/>
  <c r="C28" i="20" s="1"/>
  <c r="E34" i="20"/>
  <c r="K34" i="20"/>
  <c r="C35" i="20"/>
  <c r="E35" i="20"/>
  <c r="C36" i="20"/>
  <c r="D34" i="20" s="1"/>
  <c r="D35" i="20" s="1"/>
  <c r="K36" i="20"/>
  <c r="D38" i="20"/>
  <c r="E38" i="20"/>
  <c r="C45" i="20"/>
  <c r="D45" i="20"/>
  <c r="C46" i="20"/>
  <c r="D46" i="20"/>
  <c r="D47" i="20"/>
  <c r="E6" i="19"/>
  <c r="F6" i="19"/>
  <c r="H6" i="19"/>
  <c r="I6" i="19"/>
  <c r="J6" i="19"/>
  <c r="K6" i="19"/>
  <c r="E7" i="19"/>
  <c r="F7" i="19"/>
  <c r="H7" i="19"/>
  <c r="I7" i="19"/>
  <c r="K7" i="19"/>
  <c r="E8" i="19"/>
  <c r="F8" i="19"/>
  <c r="H8" i="19"/>
  <c r="I8" i="19"/>
  <c r="K8" i="19"/>
  <c r="E9" i="19"/>
  <c r="F9" i="19"/>
  <c r="H9" i="19"/>
  <c r="I9" i="19"/>
  <c r="K9" i="19"/>
  <c r="E10" i="19"/>
  <c r="F10" i="19"/>
  <c r="H10" i="19"/>
  <c r="I10" i="19"/>
  <c r="K10" i="19"/>
  <c r="G13" i="19"/>
  <c r="H13" i="19"/>
  <c r="I13" i="19"/>
  <c r="J13" i="19"/>
  <c r="G14" i="19"/>
  <c r="H14" i="19"/>
  <c r="I14" i="19"/>
  <c r="J14" i="19"/>
  <c r="C5" i="18"/>
  <c r="G5" i="18"/>
  <c r="C6" i="18"/>
  <c r="G6" i="18"/>
  <c r="C7" i="18"/>
  <c r="G7" i="18"/>
  <c r="C8" i="18"/>
  <c r="G8" i="18"/>
  <c r="C9" i="18"/>
  <c r="G9" i="18"/>
  <c r="Q9" i="18"/>
  <c r="C10" i="18"/>
  <c r="G10" i="18"/>
  <c r="C11" i="18"/>
  <c r="G11" i="18"/>
  <c r="C12" i="18"/>
  <c r="G12" i="18"/>
  <c r="C13" i="18"/>
  <c r="G13" i="18"/>
  <c r="C14" i="18"/>
  <c r="G14" i="18"/>
  <c r="C15" i="18"/>
  <c r="G15" i="18"/>
  <c r="C16" i="18"/>
  <c r="G16" i="18"/>
  <c r="C17" i="18"/>
  <c r="G17" i="18"/>
  <c r="C18" i="18"/>
  <c r="G18" i="18"/>
  <c r="C19" i="18"/>
  <c r="G19" i="18"/>
  <c r="C20" i="18"/>
  <c r="G20" i="18"/>
  <c r="C21" i="18"/>
  <c r="G21" i="18"/>
  <c r="C22" i="18"/>
  <c r="G22" i="18"/>
  <c r="C23" i="18"/>
  <c r="G23" i="18"/>
  <c r="C24" i="18"/>
  <c r="G24" i="18"/>
  <c r="C25" i="18"/>
  <c r="G25" i="18"/>
  <c r="C26" i="18"/>
  <c r="G26" i="18"/>
  <c r="C27" i="18"/>
  <c r="G27" i="18"/>
  <c r="C28" i="18"/>
  <c r="G28" i="18"/>
  <c r="C29" i="18"/>
  <c r="G29" i="18"/>
  <c r="C30" i="18"/>
  <c r="G30" i="18"/>
  <c r="C31" i="18"/>
  <c r="G31" i="18"/>
  <c r="C32" i="18"/>
  <c r="G32" i="18"/>
  <c r="C33" i="18"/>
  <c r="G33" i="18"/>
  <c r="C34" i="18"/>
  <c r="G34" i="18"/>
  <c r="C35" i="18"/>
  <c r="G35" i="18"/>
  <c r="C36" i="18"/>
  <c r="G36" i="18"/>
  <c r="C37" i="18"/>
  <c r="G37" i="18"/>
  <c r="C38" i="18"/>
  <c r="G38" i="18"/>
  <c r="C39" i="18"/>
  <c r="G39" i="18"/>
  <c r="C40" i="18"/>
  <c r="G40" i="18"/>
  <c r="C41" i="18"/>
  <c r="G41" i="18"/>
  <c r="C42" i="18"/>
  <c r="G42" i="18"/>
  <c r="C43" i="18"/>
  <c r="G43" i="18"/>
  <c r="C44" i="18"/>
  <c r="G44" i="18"/>
  <c r="C45" i="18"/>
  <c r="G45" i="18"/>
  <c r="C46" i="18"/>
  <c r="G46" i="18"/>
  <c r="C47" i="18"/>
  <c r="G47" i="18"/>
  <c r="C48" i="18"/>
  <c r="G48" i="18"/>
  <c r="C49" i="18"/>
  <c r="G49" i="18"/>
  <c r="C50" i="18"/>
  <c r="G50" i="18"/>
  <c r="C51" i="18"/>
  <c r="G51" i="18"/>
  <c r="C52" i="18"/>
  <c r="G52" i="18"/>
  <c r="C53" i="18"/>
  <c r="G53" i="18"/>
  <c r="C54" i="18"/>
  <c r="G54" i="18"/>
  <c r="C55" i="18"/>
  <c r="G55" i="18"/>
  <c r="C56" i="18"/>
  <c r="G56" i="18"/>
  <c r="C57" i="18"/>
  <c r="G57" i="18"/>
  <c r="C58" i="18"/>
  <c r="G58" i="18"/>
  <c r="C59" i="18"/>
  <c r="G59" i="18"/>
  <c r="C60" i="18"/>
  <c r="G60" i="18"/>
  <c r="C61" i="18"/>
  <c r="G61" i="18"/>
  <c r="C62" i="18"/>
  <c r="G62" i="18"/>
  <c r="C63" i="18"/>
  <c r="G63" i="18"/>
  <c r="C64" i="18"/>
  <c r="G64" i="18"/>
  <c r="C65" i="18"/>
  <c r="G65" i="18"/>
  <c r="C66" i="18"/>
  <c r="G66" i="18"/>
  <c r="C67" i="18"/>
  <c r="G67" i="18"/>
  <c r="C68" i="18"/>
  <c r="G68" i="18"/>
  <c r="C69" i="18"/>
  <c r="G69" i="18"/>
  <c r="C70" i="18"/>
  <c r="G70" i="18"/>
  <c r="C71" i="18"/>
  <c r="G71" i="18"/>
  <c r="C72" i="18"/>
  <c r="G72" i="18"/>
  <c r="C73" i="18"/>
  <c r="G73" i="18"/>
  <c r="C74" i="18"/>
  <c r="G74" i="18"/>
  <c r="C75" i="18"/>
  <c r="G75" i="18"/>
  <c r="C76" i="18"/>
  <c r="G76" i="18"/>
  <c r="C77" i="18"/>
  <c r="G77" i="18"/>
  <c r="C78" i="18"/>
  <c r="G78" i="18"/>
  <c r="C79" i="18"/>
  <c r="G79" i="18"/>
  <c r="C80" i="18"/>
  <c r="G80" i="18"/>
  <c r="C81" i="18"/>
  <c r="G81" i="18"/>
  <c r="C82" i="18"/>
  <c r="G82" i="18"/>
  <c r="C83" i="18"/>
  <c r="G83" i="18"/>
  <c r="C84" i="18"/>
  <c r="G84" i="18"/>
  <c r="C85" i="18"/>
  <c r="G85" i="18"/>
  <c r="C86" i="18"/>
  <c r="G86" i="18"/>
  <c r="C87" i="18"/>
  <c r="G87" i="18"/>
  <c r="C88" i="18"/>
  <c r="G88" i="18"/>
  <c r="C89" i="18"/>
  <c r="G89" i="18"/>
  <c r="C90" i="18"/>
  <c r="G90" i="18"/>
  <c r="C91" i="18"/>
  <c r="G91" i="18"/>
  <c r="C92" i="18"/>
  <c r="G92" i="18"/>
  <c r="C93" i="18"/>
  <c r="G93" i="18"/>
  <c r="C94" i="18"/>
  <c r="G94" i="18"/>
  <c r="C95" i="18"/>
  <c r="G95" i="18"/>
  <c r="C96" i="18"/>
  <c r="G96" i="18"/>
  <c r="C97" i="18"/>
  <c r="G97" i="18"/>
  <c r="C98" i="18"/>
  <c r="G98" i="18"/>
  <c r="C99" i="18"/>
  <c r="G99" i="18"/>
  <c r="C100" i="18"/>
  <c r="G100" i="18"/>
  <c r="C101" i="18"/>
  <c r="G101" i="18"/>
  <c r="C102" i="18"/>
  <c r="G102" i="18"/>
  <c r="C103" i="18"/>
  <c r="G103" i="18"/>
  <c r="C104" i="18"/>
  <c r="G104" i="18"/>
  <c r="C105" i="18"/>
  <c r="G105" i="18"/>
  <c r="C106" i="18"/>
  <c r="G106" i="18"/>
  <c r="C107" i="18"/>
  <c r="G107" i="18"/>
  <c r="C108" i="18"/>
  <c r="G108" i="18"/>
  <c r="C4" i="16"/>
  <c r="J83" i="15"/>
  <c r="I83" i="15"/>
  <c r="H83" i="15"/>
  <c r="G83" i="15"/>
  <c r="F83" i="15"/>
  <c r="E83" i="15"/>
  <c r="D83" i="15"/>
  <c r="J82" i="15"/>
  <c r="I82" i="15"/>
  <c r="H82" i="15"/>
  <c r="G82" i="15"/>
  <c r="F82" i="15"/>
  <c r="E82" i="15"/>
  <c r="D82" i="15"/>
  <c r="J81" i="15"/>
  <c r="I81" i="15"/>
  <c r="H81" i="15"/>
  <c r="G81" i="15"/>
  <c r="F81" i="15"/>
  <c r="E81" i="15"/>
  <c r="D81" i="15"/>
  <c r="J78" i="15"/>
  <c r="I78" i="15"/>
  <c r="H78" i="15"/>
  <c r="G78" i="15"/>
  <c r="F78" i="15"/>
  <c r="E78" i="15"/>
  <c r="D78" i="15"/>
  <c r="J77" i="15"/>
  <c r="I77" i="15"/>
  <c r="H77" i="15"/>
  <c r="G77" i="15"/>
  <c r="F77" i="15"/>
  <c r="E77" i="15"/>
  <c r="D77" i="15"/>
  <c r="J74" i="15"/>
  <c r="J88" i="15" s="1"/>
  <c r="I74" i="15"/>
  <c r="I88" i="15" s="1"/>
  <c r="H74" i="15"/>
  <c r="H88" i="15" s="1"/>
  <c r="G74" i="15"/>
  <c r="G88" i="15" s="1"/>
  <c r="F74" i="15"/>
  <c r="F88" i="15" s="1"/>
  <c r="E74" i="15"/>
  <c r="E88" i="15" s="1"/>
  <c r="D74" i="15"/>
  <c r="D88" i="15" s="1"/>
  <c r="J61" i="15"/>
  <c r="J64" i="15" s="1"/>
  <c r="J65" i="15" s="1"/>
  <c r="I61" i="15"/>
  <c r="I64" i="15" s="1"/>
  <c r="I65" i="15" s="1"/>
  <c r="H61" i="15"/>
  <c r="H64" i="15" s="1"/>
  <c r="H65" i="15" s="1"/>
  <c r="G61" i="15"/>
  <c r="G64" i="15" s="1"/>
  <c r="G65" i="15" s="1"/>
  <c r="F61" i="15"/>
  <c r="F64" i="15" s="1"/>
  <c r="F65" i="15" s="1"/>
  <c r="E61" i="15"/>
  <c r="E64" i="15" s="1"/>
  <c r="E65" i="15" s="1"/>
  <c r="D61" i="15"/>
  <c r="D64" i="15" s="1"/>
  <c r="D65" i="15" s="1"/>
  <c r="J60" i="15"/>
  <c r="J63" i="15" s="1"/>
  <c r="I60" i="15"/>
  <c r="I63" i="15" s="1"/>
  <c r="H60" i="15"/>
  <c r="H63" i="15" s="1"/>
  <c r="G60" i="15"/>
  <c r="G63" i="15" s="1"/>
  <c r="F60" i="15"/>
  <c r="F63" i="15" s="1"/>
  <c r="E60" i="15"/>
  <c r="E63" i="15" s="1"/>
  <c r="D60" i="15"/>
  <c r="D63" i="15" s="1"/>
  <c r="E57" i="15"/>
  <c r="E56" i="15"/>
  <c r="D56" i="15"/>
  <c r="E55" i="15"/>
  <c r="E54" i="15"/>
  <c r="D54" i="15"/>
  <c r="E53" i="15"/>
  <c r="D53" i="15"/>
  <c r="E52" i="15"/>
  <c r="E51" i="15"/>
  <c r="D51" i="15"/>
  <c r="E50" i="15"/>
  <c r="E49" i="15"/>
  <c r="D49" i="15"/>
  <c r="E48" i="15"/>
  <c r="D48" i="15"/>
  <c r="B46" i="15"/>
  <c r="E43" i="15"/>
  <c r="E42" i="15"/>
  <c r="D42" i="15"/>
  <c r="E41" i="15"/>
  <c r="E40" i="15"/>
  <c r="D40" i="15"/>
  <c r="E39" i="15"/>
  <c r="D39" i="15"/>
  <c r="E38" i="15"/>
  <c r="E37" i="15"/>
  <c r="D37" i="15"/>
  <c r="E36" i="15"/>
  <c r="E35" i="15"/>
  <c r="E34" i="15"/>
  <c r="B33" i="15"/>
  <c r="G28" i="15"/>
  <c r="H28" i="15" s="1"/>
  <c r="I28" i="15" s="1"/>
  <c r="J28" i="15" s="1"/>
  <c r="G26" i="15"/>
  <c r="H26" i="15" s="1"/>
  <c r="I26" i="15" s="1"/>
  <c r="J26" i="15" s="1"/>
  <c r="E26" i="15"/>
  <c r="D26" i="15"/>
  <c r="G25" i="15"/>
  <c r="H25" i="15" s="1"/>
  <c r="I25" i="15" s="1"/>
  <c r="J25" i="15" s="1"/>
  <c r="G24" i="15"/>
  <c r="H24" i="15" s="1"/>
  <c r="I24" i="15" s="1"/>
  <c r="J24" i="15" s="1"/>
  <c r="E24" i="15"/>
  <c r="D24" i="15"/>
  <c r="I23" i="15"/>
  <c r="J23" i="15" s="1"/>
  <c r="G23" i="15"/>
  <c r="E23" i="15"/>
  <c r="B22" i="15"/>
  <c r="F14" i="15"/>
  <c r="F11" i="15"/>
  <c r="D10" i="15"/>
  <c r="F8" i="15"/>
  <c r="B7" i="15"/>
  <c r="Q8" i="21" l="1"/>
  <c r="Q7" i="21"/>
  <c r="L7" i="21" s="1"/>
  <c r="L12" i="21" s="1"/>
  <c r="Q8" i="18"/>
  <c r="Q7" i="18"/>
  <c r="L7" i="18" s="1"/>
  <c r="L12" i="18" s="1"/>
  <c r="F48" i="15"/>
  <c r="F13" i="15"/>
  <c r="F9" i="15"/>
  <c r="G8" i="15"/>
  <c r="D50" i="15"/>
  <c r="D36" i="15"/>
  <c r="D12" i="15"/>
  <c r="F51" i="15"/>
  <c r="F37" i="15"/>
  <c r="G11" i="15"/>
  <c r="F54" i="15"/>
  <c r="F40" i="15"/>
  <c r="G14" i="15"/>
  <c r="G54" i="15" l="1"/>
  <c r="H14" i="15"/>
  <c r="G51" i="15"/>
  <c r="H11" i="15"/>
  <c r="D52" i="15"/>
  <c r="D38" i="15"/>
  <c r="D15" i="15"/>
  <c r="G48" i="15"/>
  <c r="G13" i="15"/>
  <c r="G9" i="15"/>
  <c r="H8" i="15"/>
  <c r="F49" i="15"/>
  <c r="F35" i="15"/>
  <c r="F34" i="15"/>
  <c r="F10" i="15"/>
  <c r="F53" i="15"/>
  <c r="F39" i="15"/>
  <c r="F50" i="15" l="1"/>
  <c r="F36" i="15"/>
  <c r="F12" i="15"/>
  <c r="H48" i="15"/>
  <c r="H13" i="15"/>
  <c r="H9" i="15"/>
  <c r="I8" i="15"/>
  <c r="G49" i="15"/>
  <c r="G35" i="15"/>
  <c r="G40" i="15"/>
  <c r="G37" i="15"/>
  <c r="G34" i="15"/>
  <c r="G10" i="15"/>
  <c r="G53" i="15"/>
  <c r="G39" i="15"/>
  <c r="D55" i="15"/>
  <c r="D41" i="15"/>
  <c r="D17" i="15"/>
  <c r="H51" i="15"/>
  <c r="H37" i="15"/>
  <c r="I11" i="15"/>
  <c r="H54" i="15"/>
  <c r="H40" i="15"/>
  <c r="I14" i="15"/>
  <c r="I54" i="15" l="1"/>
  <c r="J14" i="15"/>
  <c r="I51" i="15"/>
  <c r="J11" i="15"/>
  <c r="D57" i="15"/>
  <c r="D43" i="15"/>
  <c r="G50" i="15"/>
  <c r="G36" i="15"/>
  <c r="G12" i="15"/>
  <c r="I48" i="15"/>
  <c r="I13" i="15"/>
  <c r="I9" i="15"/>
  <c r="J8" i="15"/>
  <c r="H49" i="15"/>
  <c r="H35" i="15"/>
  <c r="H34" i="15"/>
  <c r="H10" i="15"/>
  <c r="H53" i="15"/>
  <c r="H39" i="15"/>
  <c r="F52" i="15"/>
  <c r="F38" i="15"/>
  <c r="F15" i="15"/>
  <c r="F55" i="15" l="1"/>
  <c r="F41" i="15"/>
  <c r="F16" i="15"/>
  <c r="H50" i="15"/>
  <c r="H36" i="15"/>
  <c r="H12" i="15"/>
  <c r="J48" i="15"/>
  <c r="J13" i="15"/>
  <c r="J9" i="15"/>
  <c r="I49" i="15"/>
  <c r="I35" i="15"/>
  <c r="I40" i="15"/>
  <c r="I37" i="15"/>
  <c r="I34" i="15"/>
  <c r="I10" i="15"/>
  <c r="I53" i="15"/>
  <c r="I39" i="15"/>
  <c r="G52" i="15"/>
  <c r="G38" i="15"/>
  <c r="G15" i="15"/>
  <c r="J51" i="15"/>
  <c r="J37" i="15"/>
  <c r="J54" i="15"/>
  <c r="J40" i="15"/>
  <c r="G55" i="15" l="1"/>
  <c r="G41" i="15"/>
  <c r="G16" i="15"/>
  <c r="I50" i="15"/>
  <c r="I36" i="15"/>
  <c r="I12" i="15"/>
  <c r="J49" i="15"/>
  <c r="J35" i="15"/>
  <c r="J34" i="15"/>
  <c r="J10" i="15"/>
  <c r="J53" i="15"/>
  <c r="J39" i="15"/>
  <c r="H52" i="15"/>
  <c r="H38" i="15"/>
  <c r="H15" i="15"/>
  <c r="F56" i="15"/>
  <c r="F42" i="15"/>
  <c r="F17" i="15"/>
  <c r="F57" i="15" l="1"/>
  <c r="F43" i="15"/>
  <c r="H55" i="15"/>
  <c r="H41" i="15"/>
  <c r="H16" i="15"/>
  <c r="J50" i="15"/>
  <c r="J36" i="15"/>
  <c r="J12" i="15"/>
  <c r="I52" i="15"/>
  <c r="I38" i="15"/>
  <c r="I15" i="15"/>
  <c r="G56" i="15"/>
  <c r="G42" i="15"/>
  <c r="G17" i="15"/>
  <c r="G57" i="15" l="1"/>
  <c r="G43" i="15"/>
  <c r="I55" i="15"/>
  <c r="I41" i="15"/>
  <c r="I16" i="15"/>
  <c r="J52" i="15"/>
  <c r="J38" i="15"/>
  <c r="J15" i="15"/>
  <c r="H56" i="15"/>
  <c r="H42" i="15"/>
  <c r="H17" i="15"/>
  <c r="H57" i="15" l="1"/>
  <c r="H43" i="15"/>
  <c r="J55" i="15"/>
  <c r="J41" i="15"/>
  <c r="J16" i="15"/>
  <c r="I56" i="15"/>
  <c r="I42" i="15"/>
  <c r="I17" i="15"/>
  <c r="I57" i="15" l="1"/>
  <c r="I43" i="15"/>
  <c r="J56" i="15"/>
  <c r="J42" i="15"/>
  <c r="J17" i="15"/>
  <c r="J57" i="15" l="1"/>
  <c r="J43" i="15"/>
  <c r="O38" i="14" l="1"/>
  <c r="O39" i="14"/>
  <c r="O37" i="14"/>
  <c r="O33" i="14"/>
  <c r="O34" i="14"/>
  <c r="O35" i="14"/>
  <c r="O32" i="14"/>
  <c r="O27" i="14"/>
  <c r="O28" i="14"/>
  <c r="O29" i="14"/>
  <c r="O30" i="14"/>
  <c r="O26" i="14"/>
  <c r="O24" i="14"/>
  <c r="O21" i="14"/>
  <c r="O22" i="14"/>
  <c r="O23" i="14"/>
  <c r="O20" i="14"/>
  <c r="O17" i="14"/>
  <c r="O18" i="14"/>
  <c r="O16" i="14"/>
  <c r="O11" i="14"/>
  <c r="O12" i="14"/>
  <c r="O13" i="14"/>
  <c r="O14" i="14"/>
  <c r="O10" i="14"/>
  <c r="O5" i="14"/>
  <c r="O6" i="14"/>
  <c r="O7" i="14"/>
  <c r="O8" i="14"/>
  <c r="O4" i="14"/>
  <c r="N27" i="14"/>
  <c r="N28" i="14"/>
  <c r="N29" i="14"/>
  <c r="N30" i="14"/>
  <c r="N26" i="14"/>
  <c r="N24" i="14"/>
  <c r="N17" i="14"/>
  <c r="N18" i="14"/>
  <c r="N16" i="14"/>
  <c r="N11" i="14"/>
  <c r="N12" i="14"/>
  <c r="N13" i="14"/>
  <c r="N14" i="14"/>
  <c r="N20" i="14"/>
  <c r="N21" i="14"/>
  <c r="N22" i="14"/>
  <c r="N23" i="14"/>
  <c r="N32" i="14"/>
  <c r="N33" i="14"/>
  <c r="N34" i="14"/>
  <c r="N35" i="14"/>
  <c r="N37" i="14"/>
  <c r="N38" i="14"/>
  <c r="N39" i="14"/>
  <c r="N10" i="14"/>
  <c r="N5" i="14"/>
  <c r="N6" i="14"/>
  <c r="N7" i="14"/>
  <c r="N8" i="14"/>
  <c r="N4" i="14"/>
  <c r="D35" i="14"/>
  <c r="E35" i="14"/>
  <c r="F35" i="14"/>
  <c r="G35" i="14"/>
  <c r="H35" i="14"/>
  <c r="I35" i="14"/>
  <c r="J35" i="14"/>
  <c r="K35" i="14"/>
  <c r="L35" i="14"/>
  <c r="C35" i="14"/>
  <c r="D34" i="14"/>
  <c r="E34" i="14"/>
  <c r="F34" i="14"/>
  <c r="G34" i="14"/>
  <c r="H34" i="14"/>
  <c r="I34" i="14"/>
  <c r="J34" i="14"/>
  <c r="K34" i="14"/>
  <c r="L34" i="14"/>
  <c r="D33" i="14"/>
  <c r="E33" i="14"/>
  <c r="F33" i="14"/>
  <c r="G33" i="14"/>
  <c r="H33" i="14"/>
  <c r="I33" i="14"/>
  <c r="J33" i="14"/>
  <c r="K33" i="14"/>
  <c r="L33" i="14"/>
  <c r="C34" i="14"/>
  <c r="D32" i="14"/>
  <c r="E32" i="14"/>
  <c r="F32" i="14"/>
  <c r="G32" i="14"/>
  <c r="H32" i="14"/>
  <c r="I32" i="14"/>
  <c r="J32" i="14"/>
  <c r="K32" i="14"/>
  <c r="L32" i="14"/>
  <c r="D39" i="14"/>
  <c r="E39" i="14"/>
  <c r="F39" i="14"/>
  <c r="G39" i="14"/>
  <c r="H39" i="14"/>
  <c r="I39" i="14"/>
  <c r="J39" i="14"/>
  <c r="K39" i="14"/>
  <c r="L39" i="14"/>
  <c r="D38" i="14"/>
  <c r="E38" i="14"/>
  <c r="F38" i="14"/>
  <c r="G38" i="14"/>
  <c r="H38" i="14"/>
  <c r="I38" i="14"/>
  <c r="J38" i="14"/>
  <c r="K38" i="14"/>
  <c r="L38" i="14"/>
  <c r="D37" i="14"/>
  <c r="E37" i="14"/>
  <c r="F37" i="14"/>
  <c r="G37" i="14"/>
  <c r="H37" i="14"/>
  <c r="I37" i="14"/>
  <c r="J37" i="14"/>
  <c r="K37" i="14"/>
  <c r="L37" i="14"/>
  <c r="C39" i="14"/>
  <c r="C38" i="14"/>
  <c r="C37" i="14"/>
  <c r="D30" i="14"/>
  <c r="E30" i="14"/>
  <c r="F30" i="14"/>
  <c r="G30" i="14"/>
  <c r="H30" i="14"/>
  <c r="I30" i="14"/>
  <c r="J30" i="14"/>
  <c r="K30" i="14"/>
  <c r="L30" i="14"/>
  <c r="D29" i="14"/>
  <c r="E29" i="14"/>
  <c r="F29" i="14"/>
  <c r="G29" i="14"/>
  <c r="H29" i="14"/>
  <c r="I29" i="14"/>
  <c r="J29" i="14"/>
  <c r="K29" i="14"/>
  <c r="L29" i="14"/>
  <c r="D28" i="14"/>
  <c r="E28" i="14"/>
  <c r="F28" i="14"/>
  <c r="G28" i="14"/>
  <c r="H28" i="14"/>
  <c r="I28" i="14"/>
  <c r="J28" i="14"/>
  <c r="K28" i="14"/>
  <c r="L28" i="14"/>
  <c r="C33" i="14"/>
  <c r="C32" i="14"/>
  <c r="C30" i="14"/>
  <c r="C29" i="14"/>
  <c r="C28" i="14"/>
  <c r="D27" i="14"/>
  <c r="E27" i="14"/>
  <c r="F27" i="14"/>
  <c r="G27" i="14"/>
  <c r="H27" i="14"/>
  <c r="I27" i="14"/>
  <c r="J27" i="14"/>
  <c r="K27" i="14"/>
  <c r="L27" i="14"/>
  <c r="D26" i="14"/>
  <c r="E26" i="14"/>
  <c r="F26" i="14"/>
  <c r="G26" i="14"/>
  <c r="H26" i="14"/>
  <c r="I26" i="14"/>
  <c r="J26" i="14"/>
  <c r="K26" i="14"/>
  <c r="L26" i="14"/>
  <c r="C27" i="14"/>
  <c r="C26" i="14"/>
  <c r="D24" i="14"/>
  <c r="E24" i="14"/>
  <c r="F24" i="14"/>
  <c r="G24" i="14"/>
  <c r="H24" i="14"/>
  <c r="I24" i="14"/>
  <c r="J24" i="14"/>
  <c r="K24" i="14"/>
  <c r="L24" i="14"/>
  <c r="C24" i="14"/>
  <c r="D23" i="14"/>
  <c r="E23" i="14"/>
  <c r="F23" i="14"/>
  <c r="G23" i="14"/>
  <c r="H23" i="14"/>
  <c r="I23" i="14"/>
  <c r="J23" i="14"/>
  <c r="K23" i="14"/>
  <c r="L23" i="14"/>
  <c r="C23" i="14"/>
  <c r="D22" i="14"/>
  <c r="E22" i="14"/>
  <c r="F22" i="14"/>
  <c r="G22" i="14"/>
  <c r="H22" i="14"/>
  <c r="I22" i="14"/>
  <c r="J22" i="14"/>
  <c r="K22" i="14"/>
  <c r="L22" i="14"/>
  <c r="C22" i="14"/>
  <c r="D21" i="14"/>
  <c r="E21" i="14"/>
  <c r="F21" i="14"/>
  <c r="G21" i="14"/>
  <c r="H21" i="14"/>
  <c r="I21" i="14"/>
  <c r="J21" i="14"/>
  <c r="K21" i="14"/>
  <c r="L21" i="14"/>
  <c r="C21" i="14"/>
  <c r="F39" i="9"/>
  <c r="G39" i="9"/>
  <c r="H39" i="9"/>
  <c r="I39" i="9"/>
  <c r="J39" i="9"/>
  <c r="K39" i="9"/>
  <c r="L39" i="9"/>
  <c r="D39" i="9"/>
  <c r="E39" i="9"/>
  <c r="C39" i="9"/>
  <c r="G43" i="9"/>
  <c r="H43" i="9"/>
  <c r="I43" i="9"/>
  <c r="J43" i="9"/>
  <c r="D20" i="14"/>
  <c r="E20" i="14"/>
  <c r="F20" i="14"/>
  <c r="G20" i="14"/>
  <c r="H20" i="14"/>
  <c r="I20" i="14"/>
  <c r="J20" i="14"/>
  <c r="K20" i="14"/>
  <c r="L20" i="14"/>
  <c r="C20" i="14"/>
  <c r="D107" i="9"/>
  <c r="E107" i="9"/>
  <c r="F107" i="9"/>
  <c r="G107" i="9"/>
  <c r="H107" i="9"/>
  <c r="I107" i="9"/>
  <c r="J107" i="9"/>
  <c r="K107" i="9"/>
  <c r="L107" i="9"/>
  <c r="C107" i="9"/>
  <c r="D18" i="14"/>
  <c r="E18" i="14"/>
  <c r="F18" i="14"/>
  <c r="G18" i="14"/>
  <c r="H18" i="14"/>
  <c r="I18" i="14"/>
  <c r="J18" i="14"/>
  <c r="K18" i="14"/>
  <c r="L18" i="14"/>
  <c r="C18" i="14"/>
  <c r="D17" i="14"/>
  <c r="E17" i="14"/>
  <c r="F17" i="14"/>
  <c r="G17" i="14"/>
  <c r="H17" i="14"/>
  <c r="I17" i="14"/>
  <c r="J17" i="14"/>
  <c r="K17" i="14"/>
  <c r="L17" i="14"/>
  <c r="C17" i="14"/>
  <c r="D16" i="14"/>
  <c r="E16" i="14"/>
  <c r="F16" i="14"/>
  <c r="G16" i="14"/>
  <c r="H16" i="14"/>
  <c r="I16" i="14"/>
  <c r="J16" i="14"/>
  <c r="K16" i="14"/>
  <c r="L16" i="14"/>
  <c r="C16" i="14"/>
  <c r="D14" i="14"/>
  <c r="E14" i="14"/>
  <c r="F14" i="14"/>
  <c r="G14" i="14"/>
  <c r="H14" i="14"/>
  <c r="I14" i="14"/>
  <c r="J14" i="14"/>
  <c r="K14" i="14"/>
  <c r="L14" i="14"/>
  <c r="C14" i="14"/>
  <c r="D13" i="14"/>
  <c r="E13" i="14"/>
  <c r="F13" i="14"/>
  <c r="G13" i="14"/>
  <c r="H13" i="14"/>
  <c r="I13" i="14"/>
  <c r="J13" i="14"/>
  <c r="K13" i="14"/>
  <c r="L13" i="14"/>
  <c r="C13" i="14"/>
  <c r="D12" i="14"/>
  <c r="E12" i="14"/>
  <c r="F12" i="14"/>
  <c r="G12" i="14"/>
  <c r="H12" i="14"/>
  <c r="I12" i="14"/>
  <c r="J12" i="14"/>
  <c r="K12" i="14"/>
  <c r="L12" i="14"/>
  <c r="C12" i="14"/>
  <c r="D11" i="14"/>
  <c r="E11" i="14"/>
  <c r="F11" i="14"/>
  <c r="G11" i="14"/>
  <c r="H11" i="14"/>
  <c r="I11" i="14"/>
  <c r="J11" i="14"/>
  <c r="K11" i="14"/>
  <c r="L11" i="14"/>
  <c r="C11" i="14"/>
  <c r="D10" i="14"/>
  <c r="E10" i="14"/>
  <c r="F10" i="14"/>
  <c r="G10" i="14"/>
  <c r="H10" i="14"/>
  <c r="I10" i="14"/>
  <c r="J10" i="14"/>
  <c r="K10" i="14"/>
  <c r="L10" i="14"/>
  <c r="C10" i="14"/>
  <c r="E8" i="14"/>
  <c r="F8" i="14"/>
  <c r="G8" i="14"/>
  <c r="H8" i="14"/>
  <c r="I8" i="14"/>
  <c r="J8" i="14"/>
  <c r="K8" i="14"/>
  <c r="L8" i="14"/>
  <c r="D8" i="14"/>
  <c r="J7" i="14"/>
  <c r="K7" i="14"/>
  <c r="L7" i="14"/>
  <c r="E7" i="14"/>
  <c r="F7" i="14"/>
  <c r="G7" i="14"/>
  <c r="H7" i="14"/>
  <c r="I7" i="14"/>
  <c r="D7" i="14"/>
  <c r="E6" i="14"/>
  <c r="F6" i="14"/>
  <c r="G6" i="14"/>
  <c r="H6" i="14"/>
  <c r="I6" i="14"/>
  <c r="J6" i="14"/>
  <c r="K6" i="14"/>
  <c r="L6" i="14"/>
  <c r="E5" i="14"/>
  <c r="F5" i="14"/>
  <c r="G5" i="14"/>
  <c r="H5" i="14"/>
  <c r="I5" i="14"/>
  <c r="J5" i="14"/>
  <c r="K5" i="14"/>
  <c r="L5" i="14"/>
  <c r="E4" i="14"/>
  <c r="F4" i="14"/>
  <c r="G4" i="14"/>
  <c r="H4" i="14"/>
  <c r="I4" i="14"/>
  <c r="J4" i="14"/>
  <c r="K4" i="14"/>
  <c r="L4" i="14"/>
  <c r="D6" i="14"/>
  <c r="D5" i="14"/>
  <c r="D4" i="14"/>
  <c r="L90" i="9"/>
  <c r="K90" i="9"/>
  <c r="F90" i="9"/>
  <c r="K89" i="9"/>
  <c r="I89" i="9"/>
  <c r="J89" i="9"/>
  <c r="E104" i="9"/>
  <c r="F104" i="9"/>
  <c r="G104" i="9"/>
  <c r="D104" i="9"/>
  <c r="D103" i="9"/>
  <c r="E103" i="9"/>
  <c r="F103" i="9"/>
  <c r="G103" i="9"/>
  <c r="G97" i="9"/>
  <c r="E98" i="9"/>
  <c r="F98" i="9"/>
  <c r="G98" i="9"/>
  <c r="H98" i="9"/>
  <c r="I98" i="9"/>
  <c r="J98" i="9"/>
  <c r="K98" i="9"/>
  <c r="L98" i="9"/>
  <c r="D88" i="9"/>
  <c r="D91" i="9"/>
  <c r="E91" i="9"/>
  <c r="F91" i="9"/>
  <c r="G91" i="9"/>
  <c r="H91" i="9"/>
  <c r="I91" i="9"/>
  <c r="J91" i="9"/>
  <c r="K91" i="9"/>
  <c r="C91" i="9"/>
  <c r="D89" i="9"/>
  <c r="F74" i="9"/>
  <c r="G74" i="9"/>
  <c r="H74" i="9"/>
  <c r="I74" i="9"/>
  <c r="J74" i="9"/>
  <c r="K74" i="9"/>
  <c r="L74" i="9"/>
  <c r="L99" i="9"/>
  <c r="L100" i="9"/>
  <c r="L101" i="9"/>
  <c r="L102" i="9"/>
  <c r="L103" i="9"/>
  <c r="L104" i="9"/>
  <c r="K99" i="9"/>
  <c r="K100" i="9"/>
  <c r="K101" i="9"/>
  <c r="K102" i="9"/>
  <c r="K103" i="9"/>
  <c r="K104" i="9"/>
  <c r="J99" i="9"/>
  <c r="J100" i="9"/>
  <c r="J101" i="9"/>
  <c r="J102" i="9"/>
  <c r="J103" i="9"/>
  <c r="J104" i="9"/>
  <c r="I99" i="9"/>
  <c r="I100" i="9"/>
  <c r="I101" i="9"/>
  <c r="I102" i="9"/>
  <c r="I103" i="9"/>
  <c r="I104" i="9"/>
  <c r="H99" i="9"/>
  <c r="H100" i="9"/>
  <c r="H101" i="9"/>
  <c r="H102" i="9"/>
  <c r="H103" i="9"/>
  <c r="H104" i="9"/>
  <c r="G99" i="9"/>
  <c r="G100" i="9"/>
  <c r="G101" i="9"/>
  <c r="G102" i="9"/>
  <c r="F99" i="9"/>
  <c r="F100" i="9"/>
  <c r="F101" i="9"/>
  <c r="F102" i="9"/>
  <c r="E99" i="9"/>
  <c r="E100" i="9"/>
  <c r="E101" i="9"/>
  <c r="E102" i="9"/>
  <c r="D98" i="9"/>
  <c r="D99" i="9"/>
  <c r="D100" i="9"/>
  <c r="D101" i="9"/>
  <c r="D102" i="9"/>
  <c r="D97" i="9"/>
  <c r="D105" i="9" s="1"/>
  <c r="E97" i="9"/>
  <c r="E105" i="9" s="1"/>
  <c r="F97" i="9"/>
  <c r="F105" i="9" s="1"/>
  <c r="H97" i="9"/>
  <c r="H105" i="9" s="1"/>
  <c r="I97" i="9"/>
  <c r="I105" i="9" s="1"/>
  <c r="J97" i="9"/>
  <c r="J105" i="9" s="1"/>
  <c r="K97" i="9"/>
  <c r="K105" i="9" s="1"/>
  <c r="L97" i="9"/>
  <c r="L105" i="9" s="1"/>
  <c r="C98" i="9"/>
  <c r="C99" i="9"/>
  <c r="C100" i="9"/>
  <c r="C101" i="9"/>
  <c r="C102" i="9"/>
  <c r="C103" i="9"/>
  <c r="C104" i="9"/>
  <c r="C97" i="9"/>
  <c r="C105" i="9" s="1"/>
  <c r="L83" i="9"/>
  <c r="L84" i="9"/>
  <c r="L85" i="9"/>
  <c r="L86" i="9"/>
  <c r="L87" i="9"/>
  <c r="L88" i="9"/>
  <c r="L89" i="9"/>
  <c r="L91" i="9"/>
  <c r="L92" i="9"/>
  <c r="K83" i="9"/>
  <c r="K84" i="9"/>
  <c r="K85" i="9"/>
  <c r="K86" i="9"/>
  <c r="K87" i="9"/>
  <c r="K88" i="9"/>
  <c r="K92" i="9"/>
  <c r="J83" i="9"/>
  <c r="J84" i="9"/>
  <c r="J85" i="9"/>
  <c r="J86" i="9"/>
  <c r="J87" i="9"/>
  <c r="J88" i="9"/>
  <c r="J90" i="9"/>
  <c r="J92" i="9"/>
  <c r="I83" i="9"/>
  <c r="I84" i="9"/>
  <c r="I85" i="9"/>
  <c r="I86" i="9"/>
  <c r="I87" i="9"/>
  <c r="I88" i="9"/>
  <c r="I90" i="9"/>
  <c r="I92" i="9"/>
  <c r="H83" i="9"/>
  <c r="H84" i="9"/>
  <c r="H85" i="9"/>
  <c r="H86" i="9"/>
  <c r="H87" i="9"/>
  <c r="H88" i="9"/>
  <c r="H89" i="9"/>
  <c r="H90" i="9"/>
  <c r="H92" i="9"/>
  <c r="G83" i="9"/>
  <c r="G84" i="9"/>
  <c r="G85" i="9"/>
  <c r="G86" i="9"/>
  <c r="G87" i="9"/>
  <c r="G88" i="9"/>
  <c r="G89" i="9"/>
  <c r="G90" i="9"/>
  <c r="G92" i="9"/>
  <c r="F83" i="9"/>
  <c r="F84" i="9"/>
  <c r="F85" i="9"/>
  <c r="F86" i="9"/>
  <c r="F87" i="9"/>
  <c r="F88" i="9"/>
  <c r="F89" i="9"/>
  <c r="F92" i="9"/>
  <c r="E83" i="9"/>
  <c r="E84" i="9"/>
  <c r="E85" i="9"/>
  <c r="E86" i="9"/>
  <c r="E87" i="9"/>
  <c r="E88" i="9"/>
  <c r="E89" i="9"/>
  <c r="E90" i="9"/>
  <c r="E92" i="9"/>
  <c r="D83" i="9"/>
  <c r="D84" i="9"/>
  <c r="D85" i="9"/>
  <c r="D86" i="9"/>
  <c r="D87" i="9"/>
  <c r="D90" i="9"/>
  <c r="D92" i="9"/>
  <c r="C83" i="9"/>
  <c r="C84" i="9"/>
  <c r="C85" i="9"/>
  <c r="C86" i="9"/>
  <c r="C87" i="9"/>
  <c r="C88" i="9"/>
  <c r="C89" i="9"/>
  <c r="C90" i="9"/>
  <c r="C92" i="9"/>
  <c r="D82" i="9"/>
  <c r="D93" i="9" s="1"/>
  <c r="E82" i="9"/>
  <c r="E93" i="9" s="1"/>
  <c r="F82" i="9"/>
  <c r="F93" i="9" s="1"/>
  <c r="G82" i="9"/>
  <c r="G93" i="9" s="1"/>
  <c r="H82" i="9"/>
  <c r="H93" i="9" s="1"/>
  <c r="I82" i="9"/>
  <c r="I93" i="9" s="1"/>
  <c r="J82" i="9"/>
  <c r="J93" i="9" s="1"/>
  <c r="K82" i="9"/>
  <c r="K93" i="9" s="1"/>
  <c r="L82" i="9"/>
  <c r="L93" i="9" s="1"/>
  <c r="C82" i="9"/>
  <c r="C93" i="9" s="1"/>
  <c r="C70" i="9"/>
  <c r="D77" i="9"/>
  <c r="E77" i="9"/>
  <c r="F77" i="9"/>
  <c r="G77" i="9"/>
  <c r="H77" i="9"/>
  <c r="I77" i="9"/>
  <c r="J77" i="9"/>
  <c r="K77" i="9"/>
  <c r="L77" i="9"/>
  <c r="D76" i="9"/>
  <c r="E76" i="9"/>
  <c r="F76" i="9"/>
  <c r="G76" i="9"/>
  <c r="H76" i="9"/>
  <c r="I76" i="9"/>
  <c r="J76" i="9"/>
  <c r="K76" i="9"/>
  <c r="L76" i="9"/>
  <c r="D75" i="9"/>
  <c r="E75" i="9"/>
  <c r="F75" i="9"/>
  <c r="G75" i="9"/>
  <c r="H75" i="9"/>
  <c r="I75" i="9"/>
  <c r="J75" i="9"/>
  <c r="K75" i="9"/>
  <c r="L75" i="9"/>
  <c r="D74" i="9"/>
  <c r="E74" i="9"/>
  <c r="D73" i="9"/>
  <c r="E73" i="9"/>
  <c r="F73" i="9"/>
  <c r="G73" i="9"/>
  <c r="H73" i="9"/>
  <c r="I73" i="9"/>
  <c r="J73" i="9"/>
  <c r="K73" i="9"/>
  <c r="L73" i="9"/>
  <c r="D72" i="9"/>
  <c r="E72" i="9"/>
  <c r="F72" i="9"/>
  <c r="G72" i="9"/>
  <c r="H72" i="9"/>
  <c r="I72" i="9"/>
  <c r="J72" i="9"/>
  <c r="K72" i="9"/>
  <c r="L72" i="9"/>
  <c r="D71" i="9"/>
  <c r="E71" i="9"/>
  <c r="F71" i="9"/>
  <c r="G71" i="9"/>
  <c r="H71" i="9"/>
  <c r="I71" i="9"/>
  <c r="J71" i="9"/>
  <c r="K71" i="9"/>
  <c r="L71" i="9"/>
  <c r="D70" i="9"/>
  <c r="D78" i="9" s="1"/>
  <c r="E70" i="9"/>
  <c r="E78" i="9" s="1"/>
  <c r="F70" i="9"/>
  <c r="F78" i="9" s="1"/>
  <c r="G70" i="9"/>
  <c r="G78" i="9" s="1"/>
  <c r="H70" i="9"/>
  <c r="H78" i="9" s="1"/>
  <c r="I70" i="9"/>
  <c r="I78" i="9" s="1"/>
  <c r="J70" i="9"/>
  <c r="J78" i="9" s="1"/>
  <c r="K70" i="9"/>
  <c r="K78" i="9" s="1"/>
  <c r="L70" i="9"/>
  <c r="L78" i="9" s="1"/>
  <c r="C71" i="9"/>
  <c r="C72" i="9"/>
  <c r="C73" i="9"/>
  <c r="C74" i="9"/>
  <c r="C75" i="9"/>
  <c r="C76" i="9"/>
  <c r="C77" i="9"/>
  <c r="F55" i="9"/>
  <c r="G55" i="9"/>
  <c r="H55" i="9"/>
  <c r="I55" i="9"/>
  <c r="J55" i="9"/>
  <c r="K55" i="9"/>
  <c r="L55" i="9"/>
  <c r="F60" i="9"/>
  <c r="G60" i="9"/>
  <c r="H60" i="9"/>
  <c r="I60" i="9"/>
  <c r="J60" i="9"/>
  <c r="K60" i="9"/>
  <c r="L60" i="9"/>
  <c r="F59" i="9"/>
  <c r="G59" i="9"/>
  <c r="H59" i="9"/>
  <c r="I59" i="9"/>
  <c r="J59" i="9"/>
  <c r="K59" i="9"/>
  <c r="L59" i="9"/>
  <c r="F58" i="9"/>
  <c r="F61" i="9" s="1"/>
  <c r="G58" i="9"/>
  <c r="G61" i="9" s="1"/>
  <c r="H58" i="9"/>
  <c r="H61" i="9" s="1"/>
  <c r="I58" i="9"/>
  <c r="I61" i="9" s="1"/>
  <c r="J58" i="9"/>
  <c r="J61" i="9" s="1"/>
  <c r="K58" i="9"/>
  <c r="K61" i="9" s="1"/>
  <c r="L58" i="9"/>
  <c r="L61" i="9" s="1"/>
  <c r="F54" i="9"/>
  <c r="G54" i="9"/>
  <c r="H54" i="9"/>
  <c r="I54" i="9"/>
  <c r="J54" i="9"/>
  <c r="K54" i="9"/>
  <c r="L54" i="9"/>
  <c r="F53" i="9"/>
  <c r="G53" i="9"/>
  <c r="H53" i="9"/>
  <c r="I53" i="9"/>
  <c r="J53" i="9"/>
  <c r="K53" i="9"/>
  <c r="L53" i="9"/>
  <c r="F52" i="9"/>
  <c r="F56" i="9" s="1"/>
  <c r="F63" i="9" s="1"/>
  <c r="G52" i="9"/>
  <c r="G56" i="9" s="1"/>
  <c r="G63" i="9" s="1"/>
  <c r="H52" i="9"/>
  <c r="H56" i="9" s="1"/>
  <c r="H63" i="9" s="1"/>
  <c r="I52" i="9"/>
  <c r="I56" i="9" s="1"/>
  <c r="I63" i="9" s="1"/>
  <c r="J52" i="9"/>
  <c r="J56" i="9" s="1"/>
  <c r="J63" i="9" s="1"/>
  <c r="K52" i="9"/>
  <c r="K56" i="9" s="1"/>
  <c r="K63" i="9" s="1"/>
  <c r="L52" i="9"/>
  <c r="L56" i="9" s="1"/>
  <c r="L63" i="9" s="1"/>
  <c r="E59" i="9"/>
  <c r="E60" i="9"/>
  <c r="E58" i="9"/>
  <c r="E61" i="9" s="1"/>
  <c r="E55" i="9"/>
  <c r="E53" i="9"/>
  <c r="E54" i="9"/>
  <c r="E52" i="9"/>
  <c r="E56" i="9" s="1"/>
  <c r="E63" i="9" s="1"/>
  <c r="E49" i="9"/>
  <c r="F49" i="9"/>
  <c r="G49" i="9"/>
  <c r="H49" i="9"/>
  <c r="I49" i="9"/>
  <c r="J49" i="9"/>
  <c r="K49" i="9"/>
  <c r="L49" i="9"/>
  <c r="L47" i="9"/>
  <c r="L48" i="9"/>
  <c r="K47" i="9"/>
  <c r="K48" i="9"/>
  <c r="J47" i="9"/>
  <c r="J48" i="9"/>
  <c r="I47" i="9"/>
  <c r="I48" i="9"/>
  <c r="H47" i="9"/>
  <c r="H48" i="9"/>
  <c r="G47" i="9"/>
  <c r="G48" i="9"/>
  <c r="F47" i="9"/>
  <c r="F48" i="9"/>
  <c r="E47" i="9"/>
  <c r="E48" i="9"/>
  <c r="E46" i="9"/>
  <c r="E50" i="9" s="1"/>
  <c r="F46" i="9"/>
  <c r="F50" i="9" s="1"/>
  <c r="G46" i="9"/>
  <c r="G50" i="9" s="1"/>
  <c r="H46" i="9"/>
  <c r="H50" i="9" s="1"/>
  <c r="I46" i="9"/>
  <c r="I50" i="9" s="1"/>
  <c r="J46" i="9"/>
  <c r="J50" i="9" s="1"/>
  <c r="K46" i="9"/>
  <c r="K50" i="9" s="1"/>
  <c r="L46" i="9"/>
  <c r="L50" i="9" s="1"/>
  <c r="D59" i="9"/>
  <c r="D60" i="9"/>
  <c r="D58" i="9"/>
  <c r="D61" i="9" s="1"/>
  <c r="D55" i="9"/>
  <c r="D53" i="9"/>
  <c r="D54" i="9"/>
  <c r="D52" i="9"/>
  <c r="D56" i="9" s="1"/>
  <c r="D63" i="9" s="1"/>
  <c r="D47" i="9"/>
  <c r="D48" i="9"/>
  <c r="D49" i="9"/>
  <c r="D46" i="9"/>
  <c r="D50" i="9" s="1"/>
  <c r="C55" i="9"/>
  <c r="C59" i="9"/>
  <c r="C60" i="9"/>
  <c r="C58" i="9"/>
  <c r="C61" i="9" s="1"/>
  <c r="C53" i="9"/>
  <c r="C54" i="9"/>
  <c r="C52" i="9"/>
  <c r="C56" i="9" s="1"/>
  <c r="C63" i="9" s="1"/>
  <c r="C47" i="9"/>
  <c r="C48" i="9"/>
  <c r="C49" i="9"/>
  <c r="C46" i="9"/>
  <c r="C50" i="9" s="1"/>
  <c r="C3" i="9"/>
  <c r="D29" i="9"/>
  <c r="E29" i="9"/>
  <c r="F29" i="9"/>
  <c r="G29" i="9"/>
  <c r="H29" i="9"/>
  <c r="I29" i="9"/>
  <c r="J29" i="9"/>
  <c r="K29" i="9"/>
  <c r="L29" i="9"/>
  <c r="M5" i="9"/>
  <c r="D35" i="9"/>
  <c r="E35" i="9"/>
  <c r="F35" i="9"/>
  <c r="G35" i="9"/>
  <c r="H35" i="9"/>
  <c r="I35" i="9"/>
  <c r="J35" i="9"/>
  <c r="K35" i="9"/>
  <c r="L35" i="9"/>
  <c r="D26" i="9"/>
  <c r="E26" i="9"/>
  <c r="F26" i="9"/>
  <c r="G26" i="9"/>
  <c r="H26" i="9"/>
  <c r="I26" i="9"/>
  <c r="J26" i="9"/>
  <c r="K26" i="9"/>
  <c r="L26" i="9"/>
  <c r="D23" i="9"/>
  <c r="E23" i="9"/>
  <c r="F23" i="9"/>
  <c r="G23" i="9"/>
  <c r="H23" i="9"/>
  <c r="I23" i="9"/>
  <c r="J23" i="9"/>
  <c r="K23" i="9"/>
  <c r="L23" i="9"/>
  <c r="C23" i="9"/>
  <c r="D20" i="9"/>
  <c r="E20" i="9"/>
  <c r="F20" i="9"/>
  <c r="G20" i="9"/>
  <c r="H20" i="9"/>
  <c r="I20" i="9"/>
  <c r="J20" i="9"/>
  <c r="K20" i="9"/>
  <c r="L20" i="9"/>
  <c r="C35" i="9"/>
  <c r="C29" i="9"/>
  <c r="C26" i="9"/>
  <c r="C20" i="9"/>
  <c r="D14" i="9"/>
  <c r="E14" i="9"/>
  <c r="F14" i="9"/>
  <c r="G14" i="9"/>
  <c r="H14" i="9"/>
  <c r="I14" i="9"/>
  <c r="J14" i="9"/>
  <c r="K14" i="9"/>
  <c r="L14" i="9"/>
  <c r="C14" i="9"/>
  <c r="K8" i="9"/>
  <c r="L8" i="9"/>
  <c r="E8" i="9"/>
  <c r="F8" i="9"/>
  <c r="G8" i="9"/>
  <c r="H8" i="9"/>
  <c r="I8" i="9"/>
  <c r="J8" i="9"/>
  <c r="D8" i="9"/>
  <c r="C8" i="9"/>
  <c r="D5" i="9"/>
  <c r="E5" i="9"/>
  <c r="F5" i="9"/>
  <c r="G5" i="9"/>
  <c r="H5" i="9"/>
  <c r="I5" i="9"/>
  <c r="J5" i="9"/>
  <c r="K5" i="9"/>
  <c r="L5" i="9"/>
  <c r="C5" i="9"/>
  <c r="L3" i="9"/>
  <c r="D3" i="9"/>
  <c r="E3" i="9"/>
  <c r="F3" i="9"/>
  <c r="G3" i="9"/>
  <c r="H3" i="9"/>
  <c r="I3" i="9"/>
  <c r="J3" i="9"/>
  <c r="K3" i="9"/>
  <c r="B2" i="9"/>
  <c r="B6" i="6"/>
  <c r="E1" i="6"/>
  <c r="C78" i="9" l="1"/>
  <c r="G105" i="9"/>
  <c r="C65" i="9"/>
  <c r="D65" i="9"/>
  <c r="E65" i="9"/>
  <c r="L65" i="9"/>
  <c r="K65" i="9"/>
  <c r="J65" i="9"/>
  <c r="I65" i="9"/>
  <c r="H65" i="9"/>
  <c r="G65" i="9"/>
  <c r="F65" i="9"/>
  <c r="C24" i="9"/>
  <c r="C11" i="9"/>
  <c r="C17" i="9" s="1"/>
  <c r="C18" i="9" s="1"/>
  <c r="L11" i="9"/>
  <c r="L17" i="9" s="1"/>
  <c r="L6" i="9"/>
  <c r="K11" i="9"/>
  <c r="K17" i="9" s="1"/>
  <c r="K6" i="9"/>
  <c r="J11" i="9"/>
  <c r="J17" i="9" s="1"/>
  <c r="J6" i="9"/>
  <c r="I11" i="9"/>
  <c r="I17" i="9" s="1"/>
  <c r="I6" i="9"/>
  <c r="H11" i="9"/>
  <c r="H17" i="9" s="1"/>
  <c r="H6" i="9"/>
  <c r="G11" i="9"/>
  <c r="G17" i="9" s="1"/>
  <c r="G6" i="9"/>
  <c r="F11" i="9"/>
  <c r="F17" i="9" s="1"/>
  <c r="F6" i="9"/>
  <c r="E11" i="9"/>
  <c r="E17" i="9" s="1"/>
  <c r="E6" i="9"/>
  <c r="D11" i="9"/>
  <c r="D17" i="9" s="1"/>
  <c r="D6" i="9"/>
  <c r="C9" i="9"/>
  <c r="D9" i="9"/>
  <c r="J9" i="9"/>
  <c r="I9" i="9"/>
  <c r="H9" i="9"/>
  <c r="G9" i="9"/>
  <c r="F9" i="9"/>
  <c r="E9" i="9"/>
  <c r="L9" i="9"/>
  <c r="K9" i="9"/>
  <c r="C15" i="9"/>
  <c r="L15" i="9"/>
  <c r="K15" i="9"/>
  <c r="J15" i="9"/>
  <c r="I15" i="9"/>
  <c r="H15" i="9"/>
  <c r="G15" i="9"/>
  <c r="F15" i="9"/>
  <c r="E15" i="9"/>
  <c r="D15" i="9"/>
  <c r="C21" i="9"/>
  <c r="C32" i="9"/>
  <c r="C27" i="9"/>
  <c r="C30" i="9"/>
  <c r="L21" i="9"/>
  <c r="K21" i="9"/>
  <c r="J21" i="9"/>
  <c r="I21" i="9"/>
  <c r="H21" i="9"/>
  <c r="G21" i="9"/>
  <c r="F21" i="9"/>
  <c r="E21" i="9"/>
  <c r="D21" i="9"/>
  <c r="L24" i="9"/>
  <c r="K24" i="9"/>
  <c r="J24" i="9"/>
  <c r="I24" i="9"/>
  <c r="H24" i="9"/>
  <c r="G24" i="9"/>
  <c r="F24" i="9"/>
  <c r="E24" i="9"/>
  <c r="D24" i="9"/>
  <c r="L32" i="9"/>
  <c r="L30" i="9"/>
  <c r="L27" i="9"/>
  <c r="K32" i="9"/>
  <c r="K30" i="9"/>
  <c r="K27" i="9"/>
  <c r="J32" i="9"/>
  <c r="J30" i="9"/>
  <c r="J27" i="9"/>
  <c r="I32" i="9"/>
  <c r="I30" i="9"/>
  <c r="I27" i="9"/>
  <c r="H32" i="9"/>
  <c r="H30" i="9"/>
  <c r="H27" i="9"/>
  <c r="G32" i="9"/>
  <c r="G30" i="9"/>
  <c r="G27" i="9"/>
  <c r="F32" i="9"/>
  <c r="F30" i="9"/>
  <c r="F27" i="9"/>
  <c r="E32" i="9"/>
  <c r="E30" i="9"/>
  <c r="E27" i="9"/>
  <c r="D32" i="9"/>
  <c r="D30" i="9"/>
  <c r="D27" i="9"/>
  <c r="L33" i="9"/>
  <c r="K33" i="9"/>
  <c r="J33" i="9"/>
  <c r="I33" i="9"/>
  <c r="H33" i="9"/>
  <c r="G33" i="9"/>
  <c r="F33" i="9"/>
  <c r="E33" i="9"/>
  <c r="D33" i="9"/>
  <c r="D37" i="9" l="1"/>
  <c r="D40" i="9" s="1"/>
  <c r="E37" i="9"/>
  <c r="E40" i="9" s="1"/>
  <c r="F37" i="9"/>
  <c r="F40" i="9" s="1"/>
  <c r="G37" i="9"/>
  <c r="H37" i="9"/>
  <c r="I37" i="9"/>
  <c r="J37" i="9"/>
  <c r="K37" i="9"/>
  <c r="K40" i="9" s="1"/>
  <c r="L37" i="9"/>
  <c r="L40" i="9" s="1"/>
  <c r="D18" i="9"/>
  <c r="E18" i="9"/>
  <c r="F18" i="9"/>
  <c r="G18" i="9"/>
  <c r="H18" i="9"/>
  <c r="I18" i="9"/>
  <c r="J18" i="9"/>
  <c r="K18" i="9"/>
  <c r="L18" i="9"/>
  <c r="C37" i="9"/>
  <c r="C33" i="9"/>
  <c r="L42" i="9" l="1"/>
  <c r="L43" i="9"/>
  <c r="K42" i="9"/>
  <c r="K43" i="9"/>
  <c r="F42" i="9"/>
  <c r="F43" i="9"/>
  <c r="E42" i="9"/>
  <c r="E43" i="9"/>
  <c r="D42" i="9"/>
  <c r="D43" i="9"/>
  <c r="J40" i="9"/>
  <c r="J42" i="9" s="1"/>
  <c r="I40" i="9"/>
  <c r="I42" i="9" s="1"/>
  <c r="H40" i="9"/>
  <c r="H42" i="9" s="1"/>
  <c r="G40" i="9"/>
  <c r="G42" i="9" s="1"/>
  <c r="C40" i="9"/>
  <c r="C42" i="9" l="1"/>
  <c r="C43" i="9"/>
</calcChain>
</file>

<file path=xl/sharedStrings.xml><?xml version="1.0" encoding="utf-8"?>
<sst xmlns="http://schemas.openxmlformats.org/spreadsheetml/2006/main" count="512" uniqueCount="291">
  <si>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</si>
  <si>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</si>
  <si>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</si>
  <si>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</si>
  <si>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</si>
  <si>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</si>
  <si>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</si>
  <si>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</si>
  <si>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</si>
  <si>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</si>
  <si>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</si>
  <si>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</si>
  <si>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</si>
  <si>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</si>
  <si>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</si>
  <si>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</si>
  <si>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</si>
  <si>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</si>
  <si>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</si>
  <si>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Inventory</t>
  </si>
  <si>
    <t>Cash from Operating Activity</t>
  </si>
  <si>
    <t>Cash from Investing Activity</t>
  </si>
  <si>
    <t>Cash from Financing Activity</t>
  </si>
  <si>
    <t>Net Cash Flow</t>
  </si>
  <si>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</si>
  <si>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</si>
  <si>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</si>
  <si>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</si>
  <si>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</si>
  <si>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</si>
  <si>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</si>
  <si>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</si>
  <si>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</si>
  <si>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</si>
  <si>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</si>
  <si>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</si>
  <si>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</si>
  <si>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</si>
  <si>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</si>
  <si>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</si>
  <si>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</si>
  <si>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</si>
  <si>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</si>
  <si>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</si>
  <si>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</si>
  <si>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</si>
  <si>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</si>
  <si>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</si>
  <si>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</si>
  <si>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</si>
  <si>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</si>
  <si>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</si>
  <si>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</si>
  <si>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</si>
  <si>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</si>
  <si>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Years</t>
  </si>
  <si>
    <t>LTM</t>
  </si>
  <si>
    <t>#</t>
  </si>
  <si>
    <t>INCOME STATEMENT</t>
  </si>
  <si>
    <t>SALES GROWTH</t>
  </si>
  <si>
    <t>COGS</t>
  </si>
  <si>
    <t>COGS % SALES</t>
  </si>
  <si>
    <t>GROSS PROFIT</t>
  </si>
  <si>
    <t>SELLING AND GEN. EXP</t>
  </si>
  <si>
    <t>S &amp; G % SALES</t>
  </si>
  <si>
    <t>EBITDA</t>
  </si>
  <si>
    <t>EBITDA MARGIN</t>
  </si>
  <si>
    <t>INTEREST</t>
  </si>
  <si>
    <t>INTEREST % SALES</t>
  </si>
  <si>
    <t>DEPRICIATION</t>
  </si>
  <si>
    <t>DEP % SALES</t>
  </si>
  <si>
    <t>EARNING BEFORE TAX</t>
  </si>
  <si>
    <t>EBT % SALES</t>
  </si>
  <si>
    <t>TAX</t>
  </si>
  <si>
    <t>EFFECTIVE TAX RATE</t>
  </si>
  <si>
    <t>NET PROFIT</t>
  </si>
  <si>
    <t>NET MARGIN</t>
  </si>
  <si>
    <t xml:space="preserve">No. of Equity Shareholders Outstanding </t>
  </si>
  <si>
    <t xml:space="preserve">EPS GROWTH </t>
  </si>
  <si>
    <t xml:space="preserve">SALES </t>
  </si>
  <si>
    <t>DPS</t>
  </si>
  <si>
    <t>DPS RATIO</t>
  </si>
  <si>
    <t>RETAINED EARNING</t>
  </si>
  <si>
    <t>Total Liabilities</t>
  </si>
  <si>
    <t>Total Non Current Assets</t>
  </si>
  <si>
    <t>Total Current Assets</t>
  </si>
  <si>
    <t>Total Assets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</si>
  <si>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</si>
  <si>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</si>
  <si>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</si>
  <si>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</si>
  <si>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</si>
  <si>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</si>
  <si>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</si>
  <si>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</si>
  <si>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</si>
  <si>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</si>
  <si>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</si>
  <si>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</si>
  <si>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</si>
  <si>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</si>
  <si>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</si>
  <si>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</si>
  <si>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</si>
  <si>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</si>
  <si>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</si>
  <si>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 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</si>
  <si>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</si>
  <si>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</si>
  <si>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</si>
  <si>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</si>
  <si>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</si>
  <si>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</si>
  <si>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</si>
  <si>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</si>
  <si>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</si>
  <si>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Operating Activities</t>
  </si>
  <si>
    <t xml:space="preserve">Cash From Operating Activities </t>
  </si>
  <si>
    <t>Fixed Asset Net Block</t>
  </si>
  <si>
    <t xml:space="preserve">CHECK </t>
  </si>
  <si>
    <t xml:space="preserve">Investing Activities </t>
  </si>
  <si>
    <t xml:space="preserve">Cash From Investing Activities </t>
  </si>
  <si>
    <r>
      <rPr>
        <b/>
        <i/>
        <sz val="11"/>
        <color theme="1"/>
        <rFont val="Calibri"/>
        <family val="2"/>
        <scheme val="minor"/>
      </rPr>
      <t>Financing Activities</t>
    </r>
    <r>
      <rPr>
        <sz val="11"/>
        <color theme="1"/>
        <rFont val="Calibri"/>
        <charset val="134"/>
        <scheme val="minor"/>
      </rPr>
      <t xml:space="preserve"> </t>
    </r>
  </si>
  <si>
    <t>Cash From Financing Activities</t>
  </si>
  <si>
    <t xml:space="preserve"> GROSS PROFIT MARGIN</t>
  </si>
  <si>
    <t>Sales Growth</t>
  </si>
  <si>
    <t>EBITDA Growth</t>
  </si>
  <si>
    <t>EBIT Growth</t>
  </si>
  <si>
    <t>Net Profit Growth</t>
  </si>
  <si>
    <t xml:space="preserve">Dividend Growth </t>
  </si>
  <si>
    <t>Gross Margin</t>
  </si>
  <si>
    <t>EBITDA Margin</t>
  </si>
  <si>
    <t>EBIT Margin</t>
  </si>
  <si>
    <t>EBT Margin</t>
  </si>
  <si>
    <t>Net Profit Margin</t>
  </si>
  <si>
    <t xml:space="preserve">Depriciation %  Sales </t>
  </si>
  <si>
    <t>Sales Expenses % Sales</t>
  </si>
  <si>
    <t xml:space="preserve">Operating Income % Sales </t>
  </si>
  <si>
    <t xml:space="preserve">Ratio Analysis-TATA MOTORS LTD </t>
  </si>
  <si>
    <t xml:space="preserve">Net Cash Flow </t>
  </si>
  <si>
    <t xml:space="preserve">Return on Capital Employed </t>
  </si>
  <si>
    <t>Retained Earning %</t>
  </si>
  <si>
    <t>Return on Equity %</t>
  </si>
  <si>
    <t>Self Sustained Growth Rate</t>
  </si>
  <si>
    <t>Interest Coverage Ratio</t>
  </si>
  <si>
    <t>Debtor Turnover Ratio</t>
  </si>
  <si>
    <t>Creditor Turnover Ratio</t>
  </si>
  <si>
    <t xml:space="preserve"> Inventory Turnover Ratio</t>
  </si>
  <si>
    <t>Fixed Asset Turnover</t>
  </si>
  <si>
    <t>Capital Turnover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</si>
  <si>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</si>
  <si>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</si>
  <si>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</si>
  <si>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</si>
  <si>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</si>
  <si>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</si>
  <si>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</si>
  <si>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 xml:space="preserve">Mean </t>
  </si>
  <si>
    <t xml:space="preserve">Median </t>
  </si>
  <si>
    <t>TATA STEELS</t>
  </si>
  <si>
    <t>INR(CRORES)</t>
  </si>
  <si>
    <t>Revenue</t>
  </si>
  <si>
    <t>Gross Profit</t>
  </si>
  <si>
    <t>Selling and G. Expenses</t>
  </si>
  <si>
    <t>Depriciation</t>
  </si>
  <si>
    <t>EBT</t>
  </si>
  <si>
    <t>Taxes</t>
  </si>
  <si>
    <t>Net Income</t>
  </si>
  <si>
    <t>Revenue Growth</t>
  </si>
  <si>
    <t>NA</t>
  </si>
  <si>
    <t>COGS % of R</t>
  </si>
  <si>
    <t>S &amp; G Expenses</t>
  </si>
  <si>
    <t>Depriciation %  Sales</t>
  </si>
  <si>
    <t>Selling Expenses</t>
  </si>
  <si>
    <t>Time Periods</t>
  </si>
  <si>
    <t>Monthly Data</t>
  </si>
  <si>
    <t>Annual Data</t>
  </si>
  <si>
    <t>Monthly Period</t>
  </si>
  <si>
    <t>Annual Period</t>
  </si>
  <si>
    <t>STUB YEAR OR FULL YEAR</t>
  </si>
  <si>
    <t>COSTING ANALYSIS</t>
  </si>
  <si>
    <t>AVERAGE</t>
  </si>
  <si>
    <t>WEIGHTED AVERAGE</t>
  </si>
  <si>
    <t>MEDIAN</t>
  </si>
  <si>
    <t>MIN</t>
  </si>
  <si>
    <t>MAX</t>
  </si>
  <si>
    <t>SMALL</t>
  </si>
  <si>
    <t>LARGE</t>
  </si>
  <si>
    <t>TOTAL EXPENSES</t>
  </si>
  <si>
    <t>if&lt;17500</t>
  </si>
  <si>
    <t>if&gt;=17500</t>
  </si>
  <si>
    <t xml:space="preserve">INCOME STATEMENT </t>
  </si>
  <si>
    <t>Selling and General Expenses</t>
  </si>
  <si>
    <t xml:space="preserve">Net Income </t>
  </si>
  <si>
    <t xml:space="preserve">Weighted Average Cost Of Capital </t>
  </si>
  <si>
    <t xml:space="preserve">All figures are in INR unless stated otherwise </t>
  </si>
  <si>
    <t>Peer Comps</t>
  </si>
  <si>
    <t>Debt/</t>
  </si>
  <si>
    <t>Levered</t>
  </si>
  <si>
    <t>Unlevered</t>
  </si>
  <si>
    <t xml:space="preserve">Name of the Company </t>
  </si>
  <si>
    <t>Country</t>
  </si>
  <si>
    <t>Equity</t>
  </si>
  <si>
    <t>debt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</si>
  <si>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</si>
  <si>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Capital</t>
  </si>
  <si>
    <r>
      <t>Beta</t>
    </r>
    <r>
      <rPr>
        <vertAlign val="superscript"/>
        <sz val="11"/>
        <color theme="1"/>
        <rFont val="Calibri"/>
        <family val="2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</si>
  <si>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</si>
  <si>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Avenue Super.</t>
  </si>
  <si>
    <t>India</t>
  </si>
  <si>
    <t>Trent</t>
  </si>
  <si>
    <t>Aditya Bir. Fas.</t>
  </si>
  <si>
    <t>Brainbees Solut.</t>
  </si>
  <si>
    <t>Medplus Health</t>
  </si>
  <si>
    <t xml:space="preserve">AVERAGE </t>
  </si>
  <si>
    <t xml:space="preserve">MEDIAN </t>
  </si>
  <si>
    <t>Cost of Debt</t>
  </si>
  <si>
    <t xml:space="preserve">Cost Of Equity </t>
  </si>
  <si>
    <t>Pre-Tax Cost of Debt</t>
  </si>
  <si>
    <t xml:space="preserve">Risk Free Rate </t>
  </si>
  <si>
    <t>Tax Rate</t>
  </si>
  <si>
    <t>Equity Risk Premium</t>
  </si>
  <si>
    <t xml:space="preserve">Post-Tax Cost of Debt </t>
  </si>
  <si>
    <r>
      <t>Levered Beta</t>
    </r>
    <r>
      <rPr>
        <vertAlign val="superscript"/>
        <sz val="11"/>
        <color theme="1"/>
        <rFont val="Calibri"/>
        <family val="2"/>
      </rPr>
      <t xml:space="preserve"> 4</t>
    </r>
  </si>
  <si>
    <t xml:space="preserve">Capital Structure </t>
  </si>
  <si>
    <t>Current</t>
  </si>
  <si>
    <t>Target</t>
  </si>
  <si>
    <t xml:space="preserve">Comp. median unlevered Beta </t>
  </si>
  <si>
    <t>Total Debt</t>
  </si>
  <si>
    <t>target debt/equity</t>
  </si>
  <si>
    <t xml:space="preserve">Market Capitalization </t>
  </si>
  <si>
    <t>Total Capital</t>
  </si>
  <si>
    <t xml:space="preserve">Levered Beta </t>
  </si>
  <si>
    <t>debt/equity</t>
  </si>
  <si>
    <t>Weighted Average Cost Of Capital</t>
  </si>
  <si>
    <t>Notes</t>
  </si>
  <si>
    <t xml:space="preserve">1. Tax rate considered as marginal tax rate for the country </t>
  </si>
  <si>
    <t>Debt</t>
  </si>
  <si>
    <t>2.levered beta is based on 5 year monthly data</t>
  </si>
  <si>
    <t>3.unlevered data = levered beta/(1+(1-tax rate)*debt/equity)</t>
  </si>
  <si>
    <t>4.levered beta = unlevered beta*(1+(1-tax rate)* debt/equity)</t>
  </si>
  <si>
    <t>X Variable 1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</si>
  <si>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</si>
  <si>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</si>
  <si>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</si>
  <si>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</si>
  <si>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</si>
  <si>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</si>
  <si>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</si>
  <si>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</si>
  <si>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</si>
  <si>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</si>
  <si>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</si>
  <si>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</si>
  <si>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</si>
  <si>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</si>
  <si>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</si>
  <si>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</si>
  <si>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</si>
  <si>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</si>
  <si>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</si>
  <si>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</si>
  <si>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</si>
  <si>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</si>
  <si>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</si>
  <si>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REGRESSION STATISTICS</t>
  </si>
  <si>
    <t>SUMARY OUTPUT</t>
  </si>
  <si>
    <t>ADJUSTED BETA</t>
  </si>
  <si>
    <t xml:space="preserve">MARKET BETA WEIGHT </t>
  </si>
  <si>
    <t>BETA3</t>
  </si>
  <si>
    <t>MARKET BETA</t>
  </si>
  <si>
    <t xml:space="preserve">Cov of xy/variance of </t>
  </si>
  <si>
    <t>BETA2</t>
  </si>
  <si>
    <t>RAW BETA WEIGHT</t>
  </si>
  <si>
    <t>BETA1</t>
  </si>
  <si>
    <t>LEVERED RAW BETA</t>
  </si>
  <si>
    <t>BETA DRIFTIG</t>
  </si>
  <si>
    <t>Weakly Return</t>
  </si>
  <si>
    <t>Price</t>
  </si>
  <si>
    <t>Date</t>
  </si>
  <si>
    <t>NIFTY 50</t>
  </si>
  <si>
    <t xml:space="preserve">                     AVENUE SUPERMART</t>
  </si>
  <si>
    <t>Median</t>
  </si>
  <si>
    <t>Average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</si>
  <si>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</si>
  <si>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</si>
  <si>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</si>
  <si>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Total Equity</t>
  </si>
  <si>
    <t xml:space="preserve">Unlevered </t>
  </si>
  <si>
    <t xml:space="preserve">Levered </t>
  </si>
  <si>
    <t>Peer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</si>
</sst>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mmm/yy;@"/>
    <numFmt numFmtId="165" formatCode="_(* #,##0.00_);_(* \(#,##0.00\);_(* &quot;-&quot;??_);_(@_)"/>
    <numFmt numFmtId="166" formatCode="&quot;₹&quot;\ #,##0.0;[Red]&quot;₹&quot;\ \-#,##0.0"/>
    <numFmt numFmtId="167" formatCode="#,##0;[Red]\(\-#,##0\)"/>
    <numFmt numFmtId="168" formatCode="&quot;₹&quot;\ #,##0.00"/>
    <numFmt numFmtId="169" formatCode="0.0%"/>
    <numFmt numFmtId="170" formatCode="0.00\ &quot;x&quot;"/>
    <numFmt numFmtId="171" formatCode="0\ &quot;days&quot;"/>
    <numFmt numFmtId="172" formatCode="0&quot;A&quot;"/>
    <numFmt numFmtId="173" formatCode="0&quot;E&quot;"/>
    <numFmt numFmtId="174" formatCode="#,##0.0;\(#,##0.0\)"/>
    <numFmt numFmtId="175" formatCode="0.0"/>
    <numFmt numFmtId="176" formatCode="0.000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rgb="FF22222F"/>
      <name val="Arial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70C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414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9" fontId="6" fillId="0" borderId="0" applyFont="0" applyFill="0" applyBorder="0" applyAlignment="0" applyProtection="0"/>
    <xf numFmtId="0" fontId="33" fillId="0" borderId="0"/>
    <xf numFmtId="0" fontId="1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43" fontId="2" fillId="0" borderId="0" xfId="1" applyFont="1" applyBorder="1"/>
    <xf numFmtId="164" fontId="3" fillId="0" borderId="0" xfId="1" applyNumberFormat="1" applyFont="1" applyFill="1" applyBorder="1"/>
    <xf numFmtId="43" fontId="0" fillId="0" borderId="0" xfId="1" applyFont="1" applyBorder="1"/>
    <xf numFmtId="164" fontId="5" fillId="3" borderId="0" xfId="1" applyNumberFormat="1" applyFont="1" applyFill="1" applyBorder="1"/>
    <xf numFmtId="164" fontId="5" fillId="3" borderId="0" xfId="0" applyNumberFormat="1" applyFont="1" applyFill="1" applyAlignment="1">
      <alignment horizontal="center"/>
    </xf>
    <xf numFmtId="165" fontId="0" fillId="0" borderId="0" xfId="1" applyNumberFormat="1" applyFont="1" applyBorder="1"/>
    <xf numFmtId="10" fontId="0" fillId="0" borderId="0" xfId="0" applyNumberForma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166" fontId="0" fillId="0" borderId="0" xfId="0" applyNumberFormat="1"/>
    <xf numFmtId="0" fontId="8" fillId="4" borderId="0" xfId="0" quotePrefix="1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68" fontId="0" fillId="0" borderId="0" xfId="0" applyNumberFormat="1"/>
    <xf numFmtId="44" fontId="0" fillId="0" borderId="0" xfId="0" applyNumberFormat="1"/>
    <xf numFmtId="0" fontId="11" fillId="0" borderId="0" xfId="0" applyFont="1"/>
    <xf numFmtId="17" fontId="12" fillId="0" borderId="0" xfId="0" applyNumberFormat="1" applyFont="1"/>
    <xf numFmtId="0" fontId="10" fillId="0" borderId="0" xfId="0" applyFont="1" applyAlignment="1">
      <alignment horizontal="right"/>
    </xf>
    <xf numFmtId="166" fontId="9" fillId="0" borderId="0" xfId="0" applyNumberFormat="1" applyFont="1"/>
    <xf numFmtId="0" fontId="10" fillId="0" borderId="0" xfId="0" applyFont="1"/>
    <xf numFmtId="17" fontId="13" fillId="7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left" vertical="center" indent="1"/>
    </xf>
    <xf numFmtId="3" fontId="14" fillId="7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3" fontId="15" fillId="7" borderId="0" xfId="0" applyNumberFormat="1" applyFont="1" applyFill="1" applyAlignment="1">
      <alignment horizontal="right" vertical="center" wrapText="1" indent="1"/>
    </xf>
    <xf numFmtId="0" fontId="15" fillId="7" borderId="0" xfId="0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right" vertical="center" wrapText="1" indent="1"/>
    </xf>
    <xf numFmtId="0" fontId="16" fillId="0" borderId="0" xfId="0" applyFont="1"/>
    <xf numFmtId="167" fontId="16" fillId="6" borderId="0" xfId="0" applyNumberFormat="1" applyFont="1" applyFill="1"/>
    <xf numFmtId="0" fontId="16" fillId="6" borderId="0" xfId="0" applyFont="1" applyFill="1"/>
    <xf numFmtId="0" fontId="17" fillId="0" borderId="0" xfId="0" applyFont="1"/>
    <xf numFmtId="169" fontId="0" fillId="0" borderId="0" xfId="0" applyNumberFormat="1"/>
    <xf numFmtId="0" fontId="13" fillId="7" borderId="0" xfId="0" applyFont="1" applyFill="1" applyAlignment="1">
      <alignment horizontal="left" vertical="center"/>
    </xf>
    <xf numFmtId="168" fontId="19" fillId="0" borderId="0" xfId="0" applyNumberFormat="1" applyFont="1"/>
    <xf numFmtId="41" fontId="0" fillId="0" borderId="0" xfId="0" applyNumberFormat="1"/>
    <xf numFmtId="43" fontId="0" fillId="0" borderId="0" xfId="0" applyNumberFormat="1"/>
    <xf numFmtId="0" fontId="20" fillId="0" borderId="0" xfId="0" applyFont="1"/>
    <xf numFmtId="166" fontId="10" fillId="0" borderId="1" xfId="0" applyNumberFormat="1" applyFont="1" applyBorder="1"/>
    <xf numFmtId="168" fontId="10" fillId="0" borderId="2" xfId="0" applyNumberFormat="1" applyFont="1" applyBorder="1"/>
    <xf numFmtId="168" fontId="18" fillId="0" borderId="1" xfId="0" applyNumberFormat="1" applyFont="1" applyBorder="1"/>
    <xf numFmtId="0" fontId="21" fillId="7" borderId="0" xfId="0" applyFont="1" applyFill="1" applyAlignment="1">
      <alignment horizontal="left" vertical="center"/>
    </xf>
    <xf numFmtId="0" fontId="0" fillId="0" borderId="3" xfId="0" applyBorder="1"/>
    <xf numFmtId="170" fontId="0" fillId="0" borderId="0" xfId="0" applyNumberFormat="1"/>
    <xf numFmtId="171" fontId="0" fillId="0" borderId="0" xfId="0" applyNumberFormat="1"/>
    <xf numFmtId="17" fontId="12" fillId="8" borderId="0" xfId="0" applyNumberFormat="1" applyFont="1" applyFill="1"/>
    <xf numFmtId="9" fontId="0" fillId="0" borderId="0" xfId="0" applyNumberFormat="1"/>
    <xf numFmtId="172" fontId="0" fillId="0" borderId="0" xfId="0" applyNumberFormat="1"/>
    <xf numFmtId="0" fontId="8" fillId="9" borderId="0" xfId="0" applyFont="1" applyFill="1"/>
    <xf numFmtId="172" fontId="8" fillId="9" borderId="0" xfId="0" applyNumberFormat="1" applyFont="1" applyFill="1"/>
    <xf numFmtId="173" fontId="8" fillId="9" borderId="0" xfId="0" applyNumberFormat="1" applyFont="1" applyFill="1"/>
    <xf numFmtId="0" fontId="10" fillId="10" borderId="0" xfId="0" applyFont="1" applyFill="1"/>
    <xf numFmtId="174" fontId="22" fillId="0" borderId="0" xfId="0" applyNumberFormat="1" applyFont="1"/>
    <xf numFmtId="175" fontId="10" fillId="0" borderId="0" xfId="0" applyNumberFormat="1" applyFont="1"/>
    <xf numFmtId="174" fontId="23" fillId="0" borderId="0" xfId="0" applyNumberFormat="1" applyFont="1"/>
    <xf numFmtId="175" fontId="0" fillId="0" borderId="0" xfId="0" applyNumberFormat="1"/>
    <xf numFmtId="0" fontId="0" fillId="0" borderId="4" xfId="0" applyBorder="1"/>
    <xf numFmtId="174" fontId="0" fillId="0" borderId="4" xfId="0" applyNumberFormat="1" applyBorder="1"/>
    <xf numFmtId="175" fontId="0" fillId="0" borderId="4" xfId="0" applyNumberFormat="1" applyBorder="1"/>
    <xf numFmtId="174" fontId="24" fillId="0" borderId="4" xfId="0" applyNumberFormat="1" applyFont="1" applyBorder="1"/>
    <xf numFmtId="0" fontId="10" fillId="0" borderId="1" xfId="0" applyFont="1" applyBorder="1"/>
    <xf numFmtId="174" fontId="10" fillId="0" borderId="1" xfId="0" applyNumberFormat="1" applyFont="1" applyBorder="1"/>
    <xf numFmtId="175" fontId="10" fillId="0" borderId="1" xfId="0" applyNumberFormat="1" applyFont="1" applyBorder="1"/>
    <xf numFmtId="0" fontId="25" fillId="10" borderId="0" xfId="0" applyFont="1" applyFill="1"/>
    <xf numFmtId="0" fontId="26" fillId="10" borderId="0" xfId="0" applyFont="1" applyFill="1"/>
    <xf numFmtId="0" fontId="0" fillId="0" borderId="0" xfId="0" applyAlignment="1">
      <alignment horizontal="right"/>
    </xf>
    <xf numFmtId="169" fontId="0" fillId="0" borderId="0" xfId="4" applyNumberFormat="1" applyFont="1"/>
    <xf numFmtId="10" fontId="23" fillId="0" borderId="0" xfId="0" applyNumberFormat="1" applyFont="1"/>
    <xf numFmtId="10" fontId="0" fillId="0" borderId="0" xfId="4" applyNumberFormat="1" applyFont="1"/>
    <xf numFmtId="174" fontId="27" fillId="0" borderId="0" xfId="0" applyNumberFormat="1" applyFont="1"/>
    <xf numFmtId="174" fontId="24" fillId="0" borderId="0" xfId="0" applyNumberFormat="1" applyFont="1"/>
    <xf numFmtId="175" fontId="23" fillId="0" borderId="0" xfId="4" applyNumberFormat="1" applyFont="1"/>
    <xf numFmtId="175" fontId="23" fillId="0" borderId="0" xfId="0" applyNumberFormat="1" applyFont="1"/>
    <xf numFmtId="175" fontId="28" fillId="0" borderId="0" xfId="0" applyNumberFormat="1" applyFont="1"/>
    <xf numFmtId="169" fontId="23" fillId="0" borderId="0" xfId="4" applyNumberFormat="1" applyFont="1"/>
    <xf numFmtId="10" fontId="24" fillId="0" borderId="0" xfId="0" applyNumberFormat="1" applyFont="1"/>
    <xf numFmtId="10" fontId="28" fillId="0" borderId="0" xfId="0" applyNumberFormat="1" applyFont="1"/>
    <xf numFmtId="0" fontId="0" fillId="0" borderId="1" xfId="0" applyBorder="1"/>
    <xf numFmtId="0" fontId="0" fillId="0" borderId="1" xfId="4" applyNumberFormat="1" applyFont="1" applyBorder="1"/>
    <xf numFmtId="169" fontId="29" fillId="0" borderId="0" xfId="0" applyNumberFormat="1" applyFont="1"/>
    <xf numFmtId="174" fontId="22" fillId="0" borderId="1" xfId="0" applyNumberFormat="1" applyFont="1" applyBorder="1"/>
    <xf numFmtId="14" fontId="30" fillId="0" borderId="0" xfId="0" applyNumberFormat="1" applyFont="1"/>
    <xf numFmtId="14" fontId="0" fillId="0" borderId="0" xfId="0" applyNumberFormat="1"/>
    <xf numFmtId="0" fontId="31" fillId="0" borderId="0" xfId="0" applyFont="1"/>
    <xf numFmtId="174" fontId="0" fillId="0" borderId="0" xfId="0" applyNumberFormat="1"/>
    <xf numFmtId="174" fontId="10" fillId="0" borderId="0" xfId="0" applyNumberFormat="1" applyFont="1"/>
    <xf numFmtId="0" fontId="29" fillId="0" borderId="0" xfId="0" applyFont="1"/>
    <xf numFmtId="0" fontId="32" fillId="0" borderId="0" xfId="0" applyFont="1"/>
    <xf numFmtId="173" fontId="0" fillId="0" borderId="0" xfId="0" applyNumberFormat="1"/>
    <xf numFmtId="0" fontId="33" fillId="0" borderId="0" xfId="5"/>
    <xf numFmtId="0" fontId="34" fillId="11" borderId="0" xfId="5" applyFont="1" applyFill="1"/>
    <xf numFmtId="0" fontId="35" fillId="0" borderId="0" xfId="5" applyFont="1"/>
    <xf numFmtId="0" fontId="33" fillId="0" borderId="4" xfId="5" applyBorder="1"/>
    <xf numFmtId="0" fontId="33" fillId="0" borderId="5" xfId="5" applyBorder="1"/>
    <xf numFmtId="0" fontId="37" fillId="0" borderId="0" xfId="5" applyFont="1"/>
    <xf numFmtId="10" fontId="37" fillId="0" borderId="0" xfId="5" applyNumberFormat="1" applyFont="1"/>
    <xf numFmtId="10" fontId="33" fillId="0" borderId="0" xfId="5" applyNumberFormat="1"/>
    <xf numFmtId="2" fontId="37" fillId="0" borderId="0" xfId="5" applyNumberFormat="1" applyFont="1"/>
    <xf numFmtId="2" fontId="33" fillId="0" borderId="0" xfId="5" applyNumberFormat="1"/>
    <xf numFmtId="0" fontId="32" fillId="0" borderId="0" xfId="5" applyFont="1"/>
    <xf numFmtId="0" fontId="32" fillId="0" borderId="5" xfId="5" applyFont="1" applyBorder="1"/>
    <xf numFmtId="9" fontId="33" fillId="0" borderId="5" xfId="5" applyNumberFormat="1" applyBorder="1"/>
    <xf numFmtId="175" fontId="33" fillId="0" borderId="5" xfId="5" applyNumberFormat="1" applyBorder="1"/>
    <xf numFmtId="0" fontId="37" fillId="0" borderId="5" xfId="5" applyFont="1" applyBorder="1"/>
    <xf numFmtId="10" fontId="33" fillId="0" borderId="5" xfId="5" applyNumberFormat="1" applyBorder="1"/>
    <xf numFmtId="9" fontId="33" fillId="0" borderId="0" xfId="5" applyNumberFormat="1"/>
    <xf numFmtId="0" fontId="38" fillId="0" borderId="0" xfId="5" applyFont="1"/>
    <xf numFmtId="0" fontId="39" fillId="0" borderId="0" xfId="5" applyFont="1"/>
    <xf numFmtId="0" fontId="1" fillId="0" borderId="0" xfId="6"/>
    <xf numFmtId="0" fontId="1" fillId="0" borderId="6" xfId="6" applyBorder="1"/>
    <xf numFmtId="0" fontId="40" fillId="0" borderId="7" xfId="6" applyFont="1" applyBorder="1" applyAlignment="1">
      <alignment horizontal="center"/>
    </xf>
    <xf numFmtId="10" fontId="0" fillId="0" borderId="0" xfId="7" applyNumberFormat="1" applyFont="1"/>
    <xf numFmtId="4" fontId="1" fillId="0" borderId="0" xfId="6" applyNumberFormat="1"/>
    <xf numFmtId="14" fontId="1" fillId="0" borderId="0" xfId="6" applyNumberFormat="1"/>
    <xf numFmtId="0" fontId="40" fillId="0" borderId="7" xfId="6" applyFont="1" applyBorder="1" applyAlignment="1">
      <alignment horizontal="centerContinuous"/>
    </xf>
    <xf numFmtId="0" fontId="17" fillId="0" borderId="1" xfId="6" applyFont="1" applyBorder="1"/>
    <xf numFmtId="2" fontId="1" fillId="0" borderId="0" xfId="6" applyNumberFormat="1"/>
    <xf numFmtId="0" fontId="10" fillId="0" borderId="0" xfId="6" applyFont="1"/>
    <xf numFmtId="10" fontId="1" fillId="0" borderId="0" xfId="6" applyNumberFormat="1"/>
    <xf numFmtId="176" fontId="1" fillId="0" borderId="0" xfId="6" applyNumberFormat="1"/>
    <xf numFmtId="0" fontId="10" fillId="0" borderId="8" xfId="6" applyFont="1" applyBorder="1"/>
    <xf numFmtId="0" fontId="10" fillId="0" borderId="8" xfId="6" applyFont="1" applyBorder="1" applyAlignment="1">
      <alignment horizontal="center"/>
    </xf>
    <xf numFmtId="0" fontId="10" fillId="0" borderId="9" xfId="6" applyFont="1" applyBorder="1"/>
    <xf numFmtId="0" fontId="10" fillId="0" borderId="5" xfId="6" applyFont="1" applyBorder="1" applyAlignment="1">
      <alignment horizontal="center"/>
    </xf>
    <xf numFmtId="0" fontId="1" fillId="12" borderId="10" xfId="6" applyFill="1" applyBorder="1"/>
    <xf numFmtId="0" fontId="10" fillId="12" borderId="2" xfId="6" applyFont="1" applyFill="1" applyBorder="1"/>
    <xf numFmtId="0" fontId="10" fillId="12" borderId="11" xfId="6" applyFont="1" applyFill="1" applyBorder="1"/>
    <xf numFmtId="169" fontId="1" fillId="0" borderId="0" xfId="6" applyNumberFormat="1"/>
    <xf numFmtId="43" fontId="4" fillId="0" borderId="0" xfId="2" applyNumberFormat="1" applyBorder="1" applyAlignment="1" applyProtection="1">
      <alignment horizontal="center"/>
    </xf>
    <xf numFmtId="43" fontId="5" fillId="2" borderId="0" xfId="3" applyNumberFormat="1" applyFont="1" applyBorder="1" applyAlignment="1">
      <alignment horizontal="center"/>
    </xf>
    <xf numFmtId="0" fontId="10" fillId="12" borderId="11" xfId="6" applyFont="1" applyFill="1" applyBorder="1" applyAlignment="1">
      <alignment horizontal="center"/>
    </xf>
    <xf numFmtId="0" fontId="10" fillId="12" borderId="10" xfId="6" applyFont="1" applyFill="1" applyBorder="1" applyAlignment="1">
      <alignment horizontal="center"/>
    </xf>
    <xf numFmtId="0" fontId="10" fillId="12" borderId="8" xfId="6" applyFont="1" applyFill="1" applyBorder="1" applyAlignment="1">
      <alignment horizontal="center"/>
    </xf>
  </cellXfs>
  <cellStyles count="8">
    <cellStyle name="Accent6" xfId="3" builtinId="49"/>
    <cellStyle name="Comma" xfId="1" builtinId="3"/>
    <cellStyle name="Hyperlink" xfId="2" builtinId="8"/>
    <cellStyle name="Normal" xfId="0" builtinId="0"/>
    <cellStyle name="Normal 2" xfId="5" xr:uid="{A53616F4-43A1-4D9C-9F8C-BF1BE77EC3AA}"/>
    <cellStyle name="Normal 3" xfId="6" xr:uid="{DCE79E39-F794-4256-B4C5-DBC655529775}"/>
    <cellStyle name="Percent" xfId="4" builtinId="5"/>
    <cellStyle name="Percent 2" xfId="7" xr:uid="{49E6A55D-41DC-47A9-9A68-37ED25913AB1}"/>
  </cellStyles>
  <dxfs count="3">
    <dxf>
      <font>
        <color theme="5"/>
      </font>
    </dxf>
    <dxf>
      <font>
        <color rgb="FFFF0000"/>
      </font>
    </dxf>
    <dxf>
      <font>
        <b/>
        <i val="0"/>
        <color theme="0"/>
      </font>
      <fill>
        <patternFill patternType="solid">
          <bgColor theme="5"/>
        </patternFill>
      </fill>
    </dxf>
  </dxfs>
  <tableStyles count="0" defaultTableStyle="TableStyleMedium9" defaultPivotStyle="PivotStyleLight16"/>
  <colors>
    <mruColors>
      <color rgb="FF0000CC"/>
      <color rgb="FF0000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\Documents\29%20Real%20time%20DCF.xlsx" TargetMode="External"/><Relationship Id="rId1" Type="http://schemas.openxmlformats.org/officeDocument/2006/relationships/externalLinkPath" Target="/Users/DELL/OneDrive/Documents/29%20Real%20time%20DC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39f7f555a667c0/Documents/DCF%2025%20April'25.xlsx" TargetMode="External"/><Relationship Id="rId1" Type="http://schemas.openxmlformats.org/officeDocument/2006/relationships/externalLinkPath" Target="https://d.docs.live.net/7239F7F555A667C0/Documents/DCF%2025%20April'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81FW8.csv" TargetMode="External"/><Relationship Id="rId1" Type="http://schemas.openxmlformats.org/officeDocument/2006/relationships/externalLinkPath" Target="81FW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N2">
            <v>281370.49</v>
          </cell>
          <cell r="P2">
            <v>712.91</v>
          </cell>
        </row>
        <row r="3">
          <cell r="N3">
            <v>185816.8</v>
          </cell>
          <cell r="P3">
            <v>1842.2</v>
          </cell>
        </row>
        <row r="4">
          <cell r="N4">
            <v>33165.94</v>
          </cell>
          <cell r="P4">
            <v>9999.18</v>
          </cell>
        </row>
        <row r="5">
          <cell r="N5">
            <v>17454.38</v>
          </cell>
          <cell r="P5">
            <v>1573.61</v>
          </cell>
        </row>
        <row r="6">
          <cell r="N6">
            <v>10021.959999999999</v>
          </cell>
          <cell r="P6">
            <v>1029.75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P7">
            <v>1.0622810818741086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1FW8"/>
      <sheetName val="Sheet1"/>
    </sheetNames>
    <sheetDataSet>
      <sheetData sheetId="0" refreshError="1"/>
      <sheetData sheetId="1" refreshError="1">
        <row r="4">
          <cell r="G4">
            <v>0.15334799999999998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CC"/>
  </sheetPr>
  <dimension ref="A1:K93"/>
  <sheetViews>
    <sheetView zoomScale="120" zoomScaleNormal="120" zoomScalePageLayoutView="120" workbookViewId="0">
      <pane xSplit="1" ySplit="1" topLeftCell="B26" activePane="bottomRight" state="frozen"/>
      <selection pane="topRight"/>
      <selection pane="bottomLeft"/>
      <selection pane="bottomRight" activeCell="G31" sqref="G31"/>
    </sheetView>
  </sheetViews>
  <sheetFormatPr defaultColWidth="8.85546875" defaultRowHeight="15"/>
  <cols>
    <col min="1" max="1" width="27.7109375" style="3" customWidth="1"/>
    <col min="2" max="11" width="13.5703125" style="3" customWidth="1"/>
    <col min="12" max="16384" width="8.85546875" style="3"/>
  </cols>
  <sheetData>
    <row r="1" spans="1:11" s="1" customFormat="1">
      <c r="A1" s="1" t="s">
        <v>24</v>
      </c>
      <c r="B1" s="1" t="s">
        <v>25</v>
      </c>
      <c r="E1" s="129" t="str">
        <f>IF(B2&lt;&gt;B3,"A NEW VERSION OF THE WORKSHEET IS AVAILABLE","")</f>
        <v/>
      </c>
      <c r="F1" s="129"/>
      <c r="G1" s="129"/>
      <c r="H1" s="129"/>
      <c r="I1" s="129"/>
      <c r="J1" s="129"/>
      <c r="K1" s="129"/>
    </row>
    <row r="2" spans="1:11">
      <c r="A2" s="1" t="s">
        <v>26</v>
      </c>
      <c r="B2" s="3">
        <v>2.1</v>
      </c>
      <c r="E2" s="130" t="s">
        <v>27</v>
      </c>
      <c r="F2" s="130"/>
      <c r="G2" s="130"/>
      <c r="H2" s="130"/>
      <c r="I2" s="130"/>
      <c r="J2" s="130"/>
      <c r="K2" s="130"/>
    </row>
    <row r="3" spans="1:11">
      <c r="A3" s="1" t="s">
        <v>28</v>
      </c>
      <c r="B3" s="3">
        <v>2.1</v>
      </c>
    </row>
    <row r="4" spans="1:11">
      <c r="A4" s="1"/>
    </row>
    <row r="5" spans="1:11">
      <c r="A5" s="1" t="s">
        <v>29</v>
      </c>
    </row>
    <row r="6" spans="1:11">
      <c r="A6" s="3" t="s">
        <v>30</v>
      </c>
      <c r="B6" s="3">
        <f>IF(B9&gt;0,B9/B8,0)</f>
        <v>0</v>
      </c>
    </row>
    <row r="7" spans="1:11">
      <c r="A7" s="3" t="s">
        <v>31</v>
      </c>
      <c r="B7">
        <v>2</v>
      </c>
    </row>
    <row r="8" spans="1:11">
      <c r="A8" s="3" t="s">
        <v>32</v>
      </c>
      <c r="B8">
        <v>697.3</v>
      </c>
    </row>
    <row r="9" spans="1:11">
      <c r="A9" s="3" t="s">
        <v>33</v>
      </c>
      <c r="B9">
        <v>256689.37</v>
      </c>
    </row>
    <row r="15" spans="1:11">
      <c r="A15" s="1" t="s">
        <v>34</v>
      </c>
    </row>
    <row r="16" spans="1:11" s="2" customFormat="1">
      <c r="A16" s="4" t="s">
        <v>35</v>
      </c>
      <c r="B16" s="5">
        <v>42094</v>
      </c>
      <c r="C16" s="5">
        <v>42460</v>
      </c>
      <c r="D16" s="5">
        <v>42825</v>
      </c>
      <c r="E16" s="5">
        <v>43190</v>
      </c>
      <c r="F16" s="5">
        <v>43555</v>
      </c>
      <c r="G16" s="5">
        <v>43921</v>
      </c>
      <c r="H16" s="5">
        <v>44286</v>
      </c>
      <c r="I16" s="5">
        <v>44651</v>
      </c>
      <c r="J16" s="5">
        <v>45016</v>
      </c>
      <c r="K16" s="5">
        <v>45382</v>
      </c>
    </row>
    <row r="17" spans="1:11">
      <c r="A17" s="3" t="s">
        <v>0</v>
      </c>
      <c r="B17">
        <v>263158.98</v>
      </c>
      <c r="C17">
        <v>273045.59999999998</v>
      </c>
      <c r="D17">
        <v>269692.51</v>
      </c>
      <c r="E17">
        <v>291550.48</v>
      </c>
      <c r="F17">
        <v>301938.40000000002</v>
      </c>
      <c r="G17">
        <v>261067.97</v>
      </c>
      <c r="H17">
        <v>249794.75</v>
      </c>
      <c r="I17">
        <v>278453.62</v>
      </c>
      <c r="J17">
        <v>345966.97</v>
      </c>
      <c r="K17">
        <v>437927.77</v>
      </c>
    </row>
    <row r="18" spans="1:11">
      <c r="A18" s="3" t="s">
        <v>36</v>
      </c>
      <c r="B18">
        <v>163250.35999999999</v>
      </c>
      <c r="C18">
        <v>166134.01</v>
      </c>
      <c r="D18">
        <v>173294.07999999999</v>
      </c>
      <c r="E18">
        <v>187896.58</v>
      </c>
      <c r="F18">
        <v>194267.91</v>
      </c>
      <c r="G18">
        <v>164899.82</v>
      </c>
      <c r="H18">
        <v>153607.35999999999</v>
      </c>
      <c r="I18">
        <v>179295.33</v>
      </c>
      <c r="J18">
        <v>231251.26</v>
      </c>
      <c r="K18">
        <v>274321.23</v>
      </c>
    </row>
    <row r="19" spans="1:11">
      <c r="A19" s="3" t="s">
        <v>37</v>
      </c>
      <c r="B19">
        <v>3330.35</v>
      </c>
      <c r="C19">
        <v>2750.99</v>
      </c>
      <c r="D19">
        <v>7399.92</v>
      </c>
      <c r="E19">
        <v>2046.58</v>
      </c>
      <c r="F19">
        <v>-2053.2800000000002</v>
      </c>
      <c r="G19">
        <v>-2231.19</v>
      </c>
      <c r="H19">
        <v>-4684.16</v>
      </c>
      <c r="I19">
        <v>-1590.49</v>
      </c>
      <c r="J19">
        <v>4781.62</v>
      </c>
      <c r="K19">
        <v>1565.53</v>
      </c>
    </row>
    <row r="20" spans="1:11">
      <c r="A20" s="3" t="s">
        <v>38</v>
      </c>
      <c r="B20">
        <v>1121.75</v>
      </c>
      <c r="C20">
        <v>1143.6300000000001</v>
      </c>
      <c r="D20">
        <v>1159.82</v>
      </c>
      <c r="E20">
        <v>1308.08</v>
      </c>
      <c r="F20">
        <v>1585.93</v>
      </c>
      <c r="G20">
        <v>1264.95</v>
      </c>
      <c r="H20">
        <v>1112.8699999999999</v>
      </c>
      <c r="I20">
        <v>2178.29</v>
      </c>
      <c r="J20">
        <v>2513.33</v>
      </c>
      <c r="K20">
        <v>2195.12</v>
      </c>
    </row>
    <row r="21" spans="1:11">
      <c r="A21" s="3" t="s">
        <v>39</v>
      </c>
      <c r="B21">
        <v>16173.17</v>
      </c>
      <c r="C21">
        <v>12101.53</v>
      </c>
      <c r="D21">
        <v>10067.370000000001</v>
      </c>
      <c r="E21">
        <v>10971.66</v>
      </c>
      <c r="F21">
        <v>11694.54</v>
      </c>
      <c r="G21">
        <v>11541.51</v>
      </c>
      <c r="H21">
        <v>8273.17</v>
      </c>
      <c r="I21">
        <v>9427.3799999999992</v>
      </c>
      <c r="J21">
        <v>11765.97</v>
      </c>
      <c r="K21">
        <v>17114.330000000002</v>
      </c>
    </row>
    <row r="22" spans="1:11">
      <c r="A22" s="3" t="s">
        <v>40</v>
      </c>
      <c r="B22">
        <v>25641.95</v>
      </c>
      <c r="C22">
        <v>28880.89</v>
      </c>
      <c r="D22">
        <v>28332.89</v>
      </c>
      <c r="E22">
        <v>30300.09</v>
      </c>
      <c r="F22">
        <v>33243.870000000003</v>
      </c>
      <c r="G22">
        <v>30438.6</v>
      </c>
      <c r="H22">
        <v>27648.48</v>
      </c>
      <c r="I22">
        <v>30808.52</v>
      </c>
      <c r="J22">
        <v>33654.699999999997</v>
      </c>
      <c r="K22">
        <v>42486.64</v>
      </c>
    </row>
    <row r="23" spans="1:11">
      <c r="A23" s="3" t="s">
        <v>41</v>
      </c>
      <c r="B23">
        <v>23603.01</v>
      </c>
      <c r="C23">
        <v>21991.9</v>
      </c>
      <c r="D23">
        <v>30039.38</v>
      </c>
      <c r="E23">
        <v>31004.58</v>
      </c>
      <c r="F23">
        <v>32719.8</v>
      </c>
      <c r="G23">
        <v>29248.32</v>
      </c>
      <c r="H23">
        <v>23015.79</v>
      </c>
      <c r="I23">
        <v>29205.4</v>
      </c>
      <c r="J23">
        <v>34839.19</v>
      </c>
      <c r="K23">
        <v>42765.33</v>
      </c>
    </row>
    <row r="24" spans="1:11">
      <c r="A24" s="3" t="s">
        <v>42</v>
      </c>
      <c r="B24">
        <v>-2539.56</v>
      </c>
      <c r="C24">
        <v>7149.38</v>
      </c>
      <c r="D24">
        <v>4610.2</v>
      </c>
      <c r="E24">
        <v>658.39</v>
      </c>
      <c r="F24">
        <v>1708.74</v>
      </c>
      <c r="G24">
        <v>3456.51</v>
      </c>
      <c r="H24">
        <v>-834.51</v>
      </c>
      <c r="I24">
        <v>1228.1199999999999</v>
      </c>
      <c r="J24">
        <v>4908.34</v>
      </c>
      <c r="K24">
        <v>1072.31</v>
      </c>
    </row>
    <row r="25" spans="1:11">
      <c r="A25" s="3" t="s">
        <v>3</v>
      </c>
      <c r="B25">
        <v>714.03</v>
      </c>
      <c r="C25">
        <v>-2669.62</v>
      </c>
      <c r="D25">
        <v>1869.1</v>
      </c>
      <c r="E25">
        <v>5932.73</v>
      </c>
      <c r="F25">
        <v>-26686.25</v>
      </c>
      <c r="G25">
        <v>101.71</v>
      </c>
      <c r="H25">
        <v>-11117.83</v>
      </c>
      <c r="I25">
        <v>2424.0500000000002</v>
      </c>
      <c r="J25">
        <v>6663.97</v>
      </c>
      <c r="K25">
        <v>5672.66</v>
      </c>
    </row>
    <row r="26" spans="1:11">
      <c r="A26" s="3" t="s">
        <v>4</v>
      </c>
      <c r="B26">
        <v>13388.63</v>
      </c>
      <c r="C26">
        <v>16710.78</v>
      </c>
      <c r="D26">
        <v>17904.990000000002</v>
      </c>
      <c r="E26">
        <v>21553.59</v>
      </c>
      <c r="F26">
        <v>23590.63</v>
      </c>
      <c r="G26">
        <v>21425.43</v>
      </c>
      <c r="H26">
        <v>23546.71</v>
      </c>
      <c r="I26">
        <v>24835.69</v>
      </c>
      <c r="J26">
        <v>24860.36</v>
      </c>
      <c r="K26">
        <v>27270.13</v>
      </c>
    </row>
    <row r="27" spans="1:11">
      <c r="A27" s="3" t="s">
        <v>5</v>
      </c>
      <c r="B27">
        <v>4861.49</v>
      </c>
      <c r="C27">
        <v>4889.08</v>
      </c>
      <c r="D27">
        <v>4238.01</v>
      </c>
      <c r="E27">
        <v>4681.79</v>
      </c>
      <c r="F27">
        <v>5758.6</v>
      </c>
      <c r="G27">
        <v>7243.33</v>
      </c>
      <c r="H27">
        <v>8097.17</v>
      </c>
      <c r="I27">
        <v>9311.86</v>
      </c>
      <c r="J27">
        <v>10225.48</v>
      </c>
      <c r="K27">
        <v>9985.76</v>
      </c>
    </row>
    <row r="28" spans="1:11">
      <c r="A28" s="3" t="s">
        <v>6</v>
      </c>
      <c r="B28">
        <v>21702.560000000001</v>
      </c>
      <c r="C28">
        <v>14125.77</v>
      </c>
      <c r="D28">
        <v>9314.7900000000009</v>
      </c>
      <c r="E28">
        <v>11155.03</v>
      </c>
      <c r="F28">
        <v>-31371.15</v>
      </c>
      <c r="G28">
        <v>-10579.98</v>
      </c>
      <c r="H28">
        <v>-10474.280000000001</v>
      </c>
      <c r="I28">
        <v>-7003.41</v>
      </c>
      <c r="J28">
        <v>3393.93</v>
      </c>
      <c r="K28">
        <v>27955.11</v>
      </c>
    </row>
    <row r="29" spans="1:11">
      <c r="A29" s="3" t="s">
        <v>7</v>
      </c>
      <c r="B29">
        <v>7642.91</v>
      </c>
      <c r="C29">
        <v>3025.05</v>
      </c>
      <c r="D29">
        <v>3251.23</v>
      </c>
      <c r="E29">
        <v>4341.93</v>
      </c>
      <c r="F29">
        <v>-2437.4499999999998</v>
      </c>
      <c r="G29">
        <v>395.25</v>
      </c>
      <c r="H29">
        <v>2541.86</v>
      </c>
      <c r="I29">
        <v>4231.29</v>
      </c>
      <c r="J29">
        <v>704.06</v>
      </c>
      <c r="K29">
        <v>-3851.64</v>
      </c>
    </row>
    <row r="30" spans="1:11">
      <c r="A30" s="3" t="s">
        <v>8</v>
      </c>
      <c r="B30">
        <v>13986.29</v>
      </c>
      <c r="C30">
        <v>11579.31</v>
      </c>
      <c r="D30">
        <v>7454.36</v>
      </c>
      <c r="E30">
        <v>8988.91</v>
      </c>
      <c r="F30">
        <v>-28826.23</v>
      </c>
      <c r="G30">
        <v>-12070.85</v>
      </c>
      <c r="H30">
        <v>-13451.39</v>
      </c>
      <c r="I30">
        <v>-11441.47</v>
      </c>
      <c r="J30">
        <v>2414.29</v>
      </c>
      <c r="K30">
        <v>31399.09</v>
      </c>
    </row>
    <row r="31" spans="1:11">
      <c r="A31" s="3" t="s">
        <v>43</v>
      </c>
      <c r="C31">
        <v>67.92</v>
      </c>
      <c r="J31">
        <v>766.02</v>
      </c>
      <c r="K31">
        <v>2299.5</v>
      </c>
    </row>
    <row r="40" spans="1:11">
      <c r="A40" s="1" t="s">
        <v>44</v>
      </c>
    </row>
    <row r="41" spans="1:11" s="2" customFormat="1">
      <c r="A41" s="4" t="s">
        <v>35</v>
      </c>
      <c r="B41" s="5">
        <v>44834</v>
      </c>
      <c r="C41" s="5">
        <v>44926</v>
      </c>
      <c r="D41" s="5">
        <v>45016</v>
      </c>
      <c r="E41" s="5">
        <v>45107</v>
      </c>
      <c r="F41" s="5">
        <v>45199</v>
      </c>
      <c r="G41" s="5">
        <v>45291</v>
      </c>
      <c r="H41" s="5">
        <v>45382</v>
      </c>
      <c r="I41" s="5">
        <v>45473</v>
      </c>
      <c r="J41" s="5">
        <v>45565</v>
      </c>
      <c r="K41" s="5">
        <v>45657</v>
      </c>
    </row>
    <row r="42" spans="1:11">
      <c r="A42" s="3" t="s">
        <v>0</v>
      </c>
      <c r="B42">
        <v>79611.37</v>
      </c>
      <c r="C42">
        <v>88488.59</v>
      </c>
      <c r="D42">
        <v>105932.35</v>
      </c>
      <c r="E42">
        <v>102236</v>
      </c>
      <c r="F42">
        <v>105129</v>
      </c>
      <c r="G42">
        <v>110577</v>
      </c>
      <c r="H42">
        <v>119986</v>
      </c>
      <c r="I42">
        <v>108048</v>
      </c>
      <c r="J42">
        <v>101450</v>
      </c>
      <c r="K42">
        <v>113575</v>
      </c>
    </row>
    <row r="43" spans="1:11">
      <c r="A43" s="3" t="s">
        <v>1</v>
      </c>
      <c r="B43">
        <v>74039.06</v>
      </c>
      <c r="C43">
        <v>77668.350000000006</v>
      </c>
      <c r="D43">
        <v>92817.95</v>
      </c>
      <c r="E43">
        <v>89019</v>
      </c>
      <c r="F43">
        <v>91362</v>
      </c>
      <c r="G43">
        <v>95159</v>
      </c>
      <c r="H43">
        <v>102851</v>
      </c>
      <c r="I43">
        <v>92263</v>
      </c>
      <c r="J43">
        <v>89291</v>
      </c>
      <c r="K43">
        <v>100532</v>
      </c>
    </row>
    <row r="44" spans="1:11">
      <c r="A44" s="3" t="s">
        <v>3</v>
      </c>
      <c r="B44">
        <v>1351.14</v>
      </c>
      <c r="C44">
        <v>1129.98</v>
      </c>
      <c r="D44">
        <v>1452.86</v>
      </c>
      <c r="E44">
        <v>895</v>
      </c>
      <c r="F44">
        <v>1557</v>
      </c>
      <c r="G44">
        <v>1604</v>
      </c>
      <c r="H44">
        <v>1619</v>
      </c>
      <c r="I44">
        <v>1747</v>
      </c>
      <c r="J44">
        <v>1647</v>
      </c>
      <c r="K44">
        <v>1764</v>
      </c>
    </row>
    <row r="45" spans="1:11">
      <c r="A45" s="3" t="s">
        <v>4</v>
      </c>
      <c r="B45">
        <v>5897.34</v>
      </c>
      <c r="C45">
        <v>6071.78</v>
      </c>
      <c r="D45">
        <v>7050.2</v>
      </c>
      <c r="E45">
        <v>6633</v>
      </c>
      <c r="F45">
        <v>6637</v>
      </c>
      <c r="G45">
        <v>6850</v>
      </c>
      <c r="H45">
        <v>7151</v>
      </c>
      <c r="I45">
        <v>6574</v>
      </c>
      <c r="J45">
        <v>6005</v>
      </c>
      <c r="K45">
        <v>5408</v>
      </c>
    </row>
    <row r="46" spans="1:11">
      <c r="A46" s="3" t="s">
        <v>5</v>
      </c>
      <c r="B46">
        <v>2487.2600000000002</v>
      </c>
      <c r="C46">
        <v>2675.83</v>
      </c>
      <c r="D46">
        <v>2641.67</v>
      </c>
      <c r="E46">
        <v>2615</v>
      </c>
      <c r="F46">
        <v>2652</v>
      </c>
      <c r="G46">
        <v>2485</v>
      </c>
      <c r="H46">
        <v>2234</v>
      </c>
      <c r="I46">
        <v>2088</v>
      </c>
      <c r="J46">
        <v>2034</v>
      </c>
      <c r="K46">
        <v>1725</v>
      </c>
    </row>
    <row r="47" spans="1:11">
      <c r="A47" s="3" t="s">
        <v>6</v>
      </c>
      <c r="B47">
        <v>-1461.15</v>
      </c>
      <c r="C47">
        <v>3202.61</v>
      </c>
      <c r="D47">
        <v>4875.3900000000003</v>
      </c>
      <c r="E47">
        <v>4864</v>
      </c>
      <c r="F47">
        <v>6035</v>
      </c>
      <c r="G47">
        <v>7687</v>
      </c>
      <c r="H47">
        <v>9369</v>
      </c>
      <c r="I47">
        <v>8870</v>
      </c>
      <c r="J47">
        <v>5767</v>
      </c>
      <c r="K47">
        <v>7674</v>
      </c>
    </row>
    <row r="48" spans="1:11">
      <c r="A48" s="3" t="s">
        <v>7</v>
      </c>
      <c r="B48">
        <v>-457.08</v>
      </c>
      <c r="C48">
        <v>262.83</v>
      </c>
      <c r="D48">
        <v>-620.65</v>
      </c>
      <c r="E48">
        <v>1563</v>
      </c>
      <c r="F48">
        <v>2203</v>
      </c>
      <c r="G48">
        <v>542</v>
      </c>
      <c r="H48">
        <v>-8160</v>
      </c>
      <c r="I48">
        <v>3178</v>
      </c>
      <c r="J48">
        <v>2317</v>
      </c>
      <c r="K48">
        <v>2096</v>
      </c>
    </row>
    <row r="49" spans="1:11">
      <c r="A49" s="3" t="s">
        <v>8</v>
      </c>
      <c r="B49">
        <v>-944.61</v>
      </c>
      <c r="C49">
        <v>2957.71</v>
      </c>
      <c r="D49">
        <v>5407.79</v>
      </c>
      <c r="E49">
        <v>3203</v>
      </c>
      <c r="F49">
        <v>3764</v>
      </c>
      <c r="G49">
        <v>7025</v>
      </c>
      <c r="H49">
        <v>17407</v>
      </c>
      <c r="I49">
        <v>5566</v>
      </c>
      <c r="J49">
        <v>3343</v>
      </c>
      <c r="K49">
        <v>5451</v>
      </c>
    </row>
    <row r="50" spans="1:11">
      <c r="A50" s="3" t="s">
        <v>2</v>
      </c>
      <c r="B50">
        <v>5572.31</v>
      </c>
      <c r="C50">
        <v>10820.24</v>
      </c>
      <c r="D50">
        <v>13114.4</v>
      </c>
      <c r="E50">
        <v>13217</v>
      </c>
      <c r="F50">
        <v>13767</v>
      </c>
      <c r="G50">
        <v>15418</v>
      </c>
      <c r="H50">
        <v>17135</v>
      </c>
      <c r="I50">
        <v>15785</v>
      </c>
      <c r="J50">
        <v>12159</v>
      </c>
      <c r="K50">
        <v>13043</v>
      </c>
    </row>
    <row r="55" spans="1:11">
      <c r="A55" s="1" t="s">
        <v>45</v>
      </c>
    </row>
    <row r="56" spans="1:11" s="2" customFormat="1">
      <c r="A56" s="4" t="s">
        <v>35</v>
      </c>
      <c r="B56" s="5">
        <v>42094</v>
      </c>
      <c r="C56" s="5">
        <v>42460</v>
      </c>
      <c r="D56" s="5">
        <v>42825</v>
      </c>
      <c r="E56" s="5">
        <v>43190</v>
      </c>
      <c r="F56" s="5">
        <v>43555</v>
      </c>
      <c r="G56" s="5">
        <v>43921</v>
      </c>
      <c r="H56" s="5">
        <v>44286</v>
      </c>
      <c r="I56" s="5">
        <v>44651</v>
      </c>
      <c r="J56" s="5">
        <v>45016</v>
      </c>
      <c r="K56" s="5">
        <v>45382</v>
      </c>
    </row>
    <row r="57" spans="1:11">
      <c r="A57" s="3" t="s">
        <v>10</v>
      </c>
      <c r="B57">
        <v>643.78</v>
      </c>
      <c r="C57">
        <v>679.18</v>
      </c>
      <c r="D57">
        <v>679.22</v>
      </c>
      <c r="E57">
        <v>679.22</v>
      </c>
      <c r="F57">
        <v>679.22</v>
      </c>
      <c r="G57">
        <v>719.54</v>
      </c>
      <c r="H57">
        <v>765.81</v>
      </c>
      <c r="I57">
        <v>765.88</v>
      </c>
      <c r="J57">
        <v>766.02</v>
      </c>
      <c r="K57">
        <v>766.5</v>
      </c>
    </row>
    <row r="58" spans="1:11">
      <c r="A58" s="3" t="s">
        <v>11</v>
      </c>
      <c r="B58">
        <v>55618.14</v>
      </c>
      <c r="C58">
        <v>78273.23</v>
      </c>
      <c r="D58">
        <v>57382.67</v>
      </c>
      <c r="E58">
        <v>94748.69</v>
      </c>
      <c r="F58">
        <v>59500.34</v>
      </c>
      <c r="G58">
        <v>62358.99</v>
      </c>
      <c r="H58">
        <v>54480.91</v>
      </c>
      <c r="I58">
        <v>43795.360000000001</v>
      </c>
      <c r="J58">
        <v>44555.77</v>
      </c>
      <c r="K58">
        <v>84151.52</v>
      </c>
    </row>
    <row r="59" spans="1:11">
      <c r="A59" s="3" t="s">
        <v>12</v>
      </c>
      <c r="B59">
        <v>73610.39</v>
      </c>
      <c r="C59">
        <v>69359.960000000006</v>
      </c>
      <c r="D59">
        <v>78603.98</v>
      </c>
      <c r="E59">
        <v>88950.47</v>
      </c>
      <c r="F59">
        <v>106175.34</v>
      </c>
      <c r="G59">
        <v>124787.64</v>
      </c>
      <c r="H59">
        <v>142130.57</v>
      </c>
      <c r="I59">
        <v>146449.03</v>
      </c>
      <c r="J59">
        <v>134113.44</v>
      </c>
      <c r="K59">
        <v>107262.5</v>
      </c>
    </row>
    <row r="60" spans="1:11">
      <c r="A60" s="3" t="s">
        <v>13</v>
      </c>
      <c r="B60">
        <v>107442.48</v>
      </c>
      <c r="C60">
        <v>114871.75</v>
      </c>
      <c r="D60">
        <v>135914.49</v>
      </c>
      <c r="E60">
        <v>142813.43</v>
      </c>
      <c r="F60">
        <v>139348.59</v>
      </c>
      <c r="G60">
        <v>132313.22</v>
      </c>
      <c r="H60">
        <v>144192.62</v>
      </c>
      <c r="I60">
        <v>138051.22</v>
      </c>
      <c r="J60">
        <v>155239.20000000001</v>
      </c>
      <c r="K60">
        <v>177340.09</v>
      </c>
    </row>
    <row r="61" spans="1:11" s="1" customFormat="1">
      <c r="A61" s="1" t="s">
        <v>14</v>
      </c>
      <c r="B61">
        <v>237314.79</v>
      </c>
      <c r="C61">
        <v>263184.12</v>
      </c>
      <c r="D61">
        <v>272580.36</v>
      </c>
      <c r="E61">
        <v>327191.81</v>
      </c>
      <c r="F61">
        <v>305703.49</v>
      </c>
      <c r="G61">
        <v>320179.39</v>
      </c>
      <c r="H61">
        <v>341569.91</v>
      </c>
      <c r="I61">
        <v>329061.49</v>
      </c>
      <c r="J61">
        <v>334674.43</v>
      </c>
      <c r="K61">
        <v>369520.61</v>
      </c>
    </row>
    <row r="62" spans="1:11">
      <c r="A62" s="3" t="s">
        <v>15</v>
      </c>
      <c r="B62">
        <v>88479.49</v>
      </c>
      <c r="C62">
        <v>107231.76</v>
      </c>
      <c r="D62">
        <v>95944.08</v>
      </c>
      <c r="E62">
        <v>121413.86</v>
      </c>
      <c r="F62">
        <v>111234.47</v>
      </c>
      <c r="G62">
        <v>127107.14</v>
      </c>
      <c r="H62">
        <v>138707.60999999999</v>
      </c>
      <c r="I62">
        <v>138855.45000000001</v>
      </c>
      <c r="J62">
        <v>132079.76</v>
      </c>
      <c r="K62">
        <v>121285.46</v>
      </c>
    </row>
    <row r="63" spans="1:11">
      <c r="A63" s="3" t="s">
        <v>16</v>
      </c>
      <c r="B63">
        <v>28640.09</v>
      </c>
      <c r="C63">
        <v>25918.94</v>
      </c>
      <c r="D63">
        <v>33698.839999999997</v>
      </c>
      <c r="E63">
        <v>40033.5</v>
      </c>
      <c r="F63">
        <v>31883.84</v>
      </c>
      <c r="G63">
        <v>35622.29</v>
      </c>
      <c r="H63">
        <v>20963.93</v>
      </c>
      <c r="I63">
        <v>10251.09</v>
      </c>
      <c r="J63">
        <v>14274.5</v>
      </c>
      <c r="K63">
        <v>35698.43</v>
      </c>
    </row>
    <row r="64" spans="1:11">
      <c r="A64" s="3" t="s">
        <v>17</v>
      </c>
      <c r="B64">
        <v>15336.74</v>
      </c>
      <c r="C64">
        <v>23767.02</v>
      </c>
      <c r="D64">
        <v>20337.919999999998</v>
      </c>
      <c r="E64">
        <v>20812.75</v>
      </c>
      <c r="F64">
        <v>15770.72</v>
      </c>
      <c r="G64">
        <v>16308.48</v>
      </c>
      <c r="H64">
        <v>24620.28</v>
      </c>
      <c r="I64">
        <v>29379.53</v>
      </c>
      <c r="J64">
        <v>26379.16</v>
      </c>
      <c r="K64">
        <v>22971.07</v>
      </c>
    </row>
    <row r="65" spans="1:11">
      <c r="A65" s="3" t="s">
        <v>18</v>
      </c>
      <c r="B65">
        <v>104858.47</v>
      </c>
      <c r="C65">
        <v>106266.4</v>
      </c>
      <c r="D65">
        <v>122599.52</v>
      </c>
      <c r="E65">
        <v>144931.70000000001</v>
      </c>
      <c r="F65">
        <v>146814.46</v>
      </c>
      <c r="G65">
        <v>141141.48000000001</v>
      </c>
      <c r="H65">
        <v>157278.09</v>
      </c>
      <c r="I65">
        <v>150575.42000000001</v>
      </c>
      <c r="J65">
        <v>161941.01</v>
      </c>
      <c r="K65">
        <v>189565.65</v>
      </c>
    </row>
    <row r="66" spans="1:11" s="1" customFormat="1">
      <c r="A66" s="1" t="s">
        <v>14</v>
      </c>
      <c r="B66">
        <v>237314.79</v>
      </c>
      <c r="C66">
        <v>263184.12</v>
      </c>
      <c r="D66">
        <v>272580.36</v>
      </c>
      <c r="E66">
        <v>327191.81</v>
      </c>
      <c r="F66">
        <v>305703.49</v>
      </c>
      <c r="G66">
        <v>320179.39</v>
      </c>
      <c r="H66">
        <v>341569.91</v>
      </c>
      <c r="I66">
        <v>329061.49</v>
      </c>
      <c r="J66">
        <v>334674.43</v>
      </c>
      <c r="K66">
        <v>369520.61</v>
      </c>
    </row>
    <row r="67" spans="1:11">
      <c r="A67" s="3" t="s">
        <v>46</v>
      </c>
      <c r="B67">
        <v>12579.2</v>
      </c>
      <c r="C67">
        <v>13570.91</v>
      </c>
      <c r="D67">
        <v>14075.55</v>
      </c>
      <c r="E67">
        <v>19893.3</v>
      </c>
      <c r="F67">
        <v>18996.169999999998</v>
      </c>
      <c r="G67">
        <v>11172.69</v>
      </c>
      <c r="H67">
        <v>12679.08</v>
      </c>
      <c r="I67">
        <v>12442.12</v>
      </c>
      <c r="J67">
        <v>15737.97</v>
      </c>
      <c r="K67">
        <v>16951.810000000001</v>
      </c>
    </row>
    <row r="68" spans="1:11">
      <c r="A68" s="3" t="s">
        <v>19</v>
      </c>
      <c r="B68">
        <v>29272.34</v>
      </c>
      <c r="C68">
        <v>32655.73</v>
      </c>
      <c r="D68">
        <v>35085.31</v>
      </c>
      <c r="E68">
        <v>42137.63</v>
      </c>
      <c r="F68">
        <v>39013.730000000003</v>
      </c>
      <c r="G68">
        <v>37456.879999999997</v>
      </c>
      <c r="H68">
        <v>36088.589999999997</v>
      </c>
      <c r="I68">
        <v>35240.339999999997</v>
      </c>
      <c r="J68">
        <v>40755.39</v>
      </c>
      <c r="K68">
        <v>47788.29</v>
      </c>
    </row>
    <row r="69" spans="1:11">
      <c r="A69" s="3" t="s">
        <v>47</v>
      </c>
      <c r="B69">
        <v>32115.759999999998</v>
      </c>
      <c r="C69">
        <v>30460.400000000001</v>
      </c>
      <c r="D69">
        <v>36077.879999999997</v>
      </c>
      <c r="E69">
        <v>34613.910000000003</v>
      </c>
      <c r="F69">
        <v>32648.82</v>
      </c>
      <c r="G69">
        <v>33726.97</v>
      </c>
      <c r="H69">
        <v>46792.46</v>
      </c>
      <c r="I69">
        <v>40669.19</v>
      </c>
      <c r="J69">
        <v>37015.56</v>
      </c>
      <c r="K69">
        <v>45806.69</v>
      </c>
    </row>
    <row r="70" spans="1:11">
      <c r="A70" s="3" t="s">
        <v>48</v>
      </c>
      <c r="B70">
        <v>3218930067</v>
      </c>
      <c r="C70">
        <v>3395930306</v>
      </c>
      <c r="D70">
        <v>3396100719</v>
      </c>
      <c r="E70">
        <v>3396100719</v>
      </c>
      <c r="F70">
        <v>3396100719</v>
      </c>
      <c r="G70">
        <v>3597726185</v>
      </c>
      <c r="H70">
        <v>3829060661</v>
      </c>
      <c r="I70">
        <v>3829414903</v>
      </c>
      <c r="J70">
        <v>3830097221</v>
      </c>
      <c r="K70">
        <v>3832491897</v>
      </c>
    </row>
    <row r="71" spans="1:11">
      <c r="A71" s="3" t="s">
        <v>49</v>
      </c>
    </row>
    <row r="72" spans="1:11">
      <c r="A72" s="3" t="s">
        <v>50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80" spans="1:11">
      <c r="A80" s="1" t="s">
        <v>51</v>
      </c>
    </row>
    <row r="81" spans="1:11" s="2" customFormat="1">
      <c r="A81" s="4" t="s">
        <v>35</v>
      </c>
      <c r="B81" s="5">
        <v>42094</v>
      </c>
      <c r="C81" s="5">
        <v>42460</v>
      </c>
      <c r="D81" s="5">
        <v>42825</v>
      </c>
      <c r="E81" s="5">
        <v>43190</v>
      </c>
      <c r="F81" s="5">
        <v>43555</v>
      </c>
      <c r="G81" s="5">
        <v>43921</v>
      </c>
      <c r="H81" s="5">
        <v>44286</v>
      </c>
      <c r="I81" s="5">
        <v>44651</v>
      </c>
      <c r="J81" s="5">
        <v>45016</v>
      </c>
      <c r="K81" s="5">
        <v>45382</v>
      </c>
    </row>
    <row r="82" spans="1:11" s="1" customFormat="1">
      <c r="A82" s="3" t="s">
        <v>20</v>
      </c>
      <c r="B82">
        <v>35531.26</v>
      </c>
      <c r="C82">
        <v>37899.54</v>
      </c>
      <c r="D82">
        <v>30199.25</v>
      </c>
      <c r="E82">
        <v>23857.42</v>
      </c>
      <c r="F82">
        <v>18890.75</v>
      </c>
      <c r="G82">
        <v>26632.94</v>
      </c>
      <c r="H82">
        <v>29000.51</v>
      </c>
      <c r="I82">
        <v>14282.83</v>
      </c>
      <c r="J82">
        <v>35388.01</v>
      </c>
      <c r="K82">
        <v>67915.360000000001</v>
      </c>
    </row>
    <row r="83" spans="1:11">
      <c r="A83" s="3" t="s">
        <v>21</v>
      </c>
      <c r="B83">
        <v>-36232.35</v>
      </c>
      <c r="C83">
        <v>-36693.9</v>
      </c>
      <c r="D83">
        <v>-39571.4</v>
      </c>
      <c r="E83">
        <v>-25139.14</v>
      </c>
      <c r="F83">
        <v>-20878.07</v>
      </c>
      <c r="G83">
        <v>-33114.550000000003</v>
      </c>
      <c r="H83">
        <v>-25672.5</v>
      </c>
      <c r="I83">
        <v>-4443.66</v>
      </c>
      <c r="J83">
        <v>-15417.17</v>
      </c>
      <c r="K83">
        <v>-22781.56</v>
      </c>
    </row>
    <row r="84" spans="1:11">
      <c r="A84" s="3" t="s">
        <v>22</v>
      </c>
      <c r="B84">
        <v>5201.4399999999996</v>
      </c>
      <c r="C84">
        <v>-3795.12</v>
      </c>
      <c r="D84">
        <v>6205.3</v>
      </c>
      <c r="E84">
        <v>2011.71</v>
      </c>
      <c r="F84">
        <v>8830.3700000000008</v>
      </c>
      <c r="G84">
        <v>3389.61</v>
      </c>
      <c r="H84">
        <v>9904.2000000000007</v>
      </c>
      <c r="I84">
        <v>-3380.17</v>
      </c>
      <c r="J84">
        <v>-26242.9</v>
      </c>
      <c r="K84">
        <v>-37005.99</v>
      </c>
    </row>
    <row r="85" spans="1:11" s="1" customFormat="1">
      <c r="A85" s="3" t="s">
        <v>23</v>
      </c>
      <c r="B85">
        <v>4500.3500000000004</v>
      </c>
      <c r="C85">
        <v>-2589.48</v>
      </c>
      <c r="D85">
        <v>-3166.85</v>
      </c>
      <c r="E85">
        <v>729.99</v>
      </c>
      <c r="F85">
        <v>6843.05</v>
      </c>
      <c r="G85">
        <v>-3092</v>
      </c>
      <c r="H85">
        <v>13232.21</v>
      </c>
      <c r="I85">
        <v>6459</v>
      </c>
      <c r="J85">
        <v>-6272.06</v>
      </c>
      <c r="K85">
        <v>8127.81</v>
      </c>
    </row>
    <row r="90" spans="1:11" s="1" customFormat="1">
      <c r="A90" s="1" t="s">
        <v>52</v>
      </c>
      <c r="B90">
        <v>544.37</v>
      </c>
      <c r="C90">
        <v>386.6</v>
      </c>
      <c r="D90">
        <v>465.85</v>
      </c>
      <c r="E90">
        <v>326.85000000000002</v>
      </c>
      <c r="F90">
        <v>174.25</v>
      </c>
      <c r="G90">
        <v>71.05</v>
      </c>
      <c r="H90">
        <v>301.8</v>
      </c>
      <c r="I90">
        <v>433.75</v>
      </c>
      <c r="J90">
        <v>420.8</v>
      </c>
      <c r="K90">
        <v>992.8</v>
      </c>
    </row>
    <row r="92" spans="1:11" s="1" customFormat="1">
      <c r="A92" s="1" t="s">
        <v>53</v>
      </c>
    </row>
    <row r="93" spans="1:11">
      <c r="A93" s="3" t="s">
        <v>54</v>
      </c>
      <c r="B93" s="6">
        <v>288.74</v>
      </c>
      <c r="C93" s="6">
        <v>288.72000000000003</v>
      </c>
      <c r="D93" s="6">
        <v>288.73</v>
      </c>
      <c r="E93" s="6">
        <v>288.73</v>
      </c>
      <c r="F93" s="6">
        <v>288.73</v>
      </c>
      <c r="G93" s="6">
        <v>308.89999999999998</v>
      </c>
      <c r="H93" s="6">
        <v>332.03</v>
      </c>
      <c r="I93" s="6">
        <v>332.07</v>
      </c>
      <c r="J93" s="6">
        <v>332.13</v>
      </c>
      <c r="K93" s="6">
        <v>332.37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=IF(B2&lt;&gt;B3,&quot;A NEW VERSION OF THE WORKSHEET IS AVAILABLE&quot;,&quot;&quot;)" xr:uid="{00000000-0004-0000-05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07ED-CE79-4C4E-9A9E-12A5E2766222}">
  <sheetPr>
    <tabColor rgb="FF0000CC"/>
  </sheetPr>
  <dimension ref="A1:M107"/>
  <sheetViews>
    <sheetView showGridLines="0" topLeftCell="A36" zoomScale="79" workbookViewId="0">
      <selection activeCell="B60" sqref="B60"/>
    </sheetView>
  </sheetViews>
  <sheetFormatPr defaultRowHeight="15"/>
  <cols>
    <col min="1" max="1" width="1.85546875" customWidth="1"/>
    <col min="2" max="2" width="81" customWidth="1"/>
    <col min="3" max="3" width="17.28515625" customWidth="1"/>
    <col min="4" max="4" width="16.42578125" customWidth="1"/>
    <col min="5" max="5" width="19" customWidth="1"/>
    <col min="6" max="6" width="13.28515625" customWidth="1"/>
    <col min="7" max="7" width="15.28515625" customWidth="1"/>
    <col min="8" max="8" width="14.42578125" customWidth="1"/>
    <col min="9" max="9" width="14.5703125" customWidth="1"/>
    <col min="10" max="10" width="13.85546875" customWidth="1"/>
    <col min="11" max="12" width="12.42578125" bestFit="1" customWidth="1"/>
    <col min="13" max="13" width="15.5703125" customWidth="1"/>
  </cols>
  <sheetData>
    <row r="1" spans="1:13">
      <c r="A1" s="8"/>
    </row>
    <row r="2" spans="1:13">
      <c r="B2" s="12" t="str">
        <f>"Historical Financial Data - "&amp;'DATA SHEET'!B1</f>
        <v>Historical Financial Data - TATA MOTORS LTD</v>
      </c>
      <c r="C2" s="9"/>
      <c r="D2" s="9"/>
      <c r="E2" s="9"/>
      <c r="F2" s="9"/>
    </row>
    <row r="3" spans="1:13">
      <c r="B3" s="13" t="s">
        <v>55</v>
      </c>
      <c r="C3" s="17">
        <f>'DATA SHEET'!B16</f>
        <v>42094</v>
      </c>
      <c r="D3" s="17">
        <f>'DATA SHEET'!C16</f>
        <v>42460</v>
      </c>
      <c r="E3" s="17">
        <f>'DATA SHEET'!D16</f>
        <v>42825</v>
      </c>
      <c r="F3" s="17">
        <f>'DATA SHEET'!E16</f>
        <v>43190</v>
      </c>
      <c r="G3" s="17">
        <f>'DATA SHEET'!F16</f>
        <v>43555</v>
      </c>
      <c r="H3" s="17">
        <f>'DATA SHEET'!G16</f>
        <v>43921</v>
      </c>
      <c r="I3" s="17">
        <f>'DATA SHEET'!H16</f>
        <v>44286</v>
      </c>
      <c r="J3" s="17">
        <f>'DATA SHEET'!I16</f>
        <v>44651</v>
      </c>
      <c r="K3" s="17">
        <f>'DATA SHEET'!J16</f>
        <v>45016</v>
      </c>
      <c r="L3" s="17">
        <f>'DATA SHEET'!K16</f>
        <v>45382</v>
      </c>
      <c r="M3" s="18" t="s">
        <v>56</v>
      </c>
    </row>
    <row r="4" spans="1:13">
      <c r="A4" s="10" t="s">
        <v>57</v>
      </c>
      <c r="B4" s="30" t="s">
        <v>58</v>
      </c>
    </row>
    <row r="5" spans="1:13">
      <c r="B5" s="10" t="s">
        <v>79</v>
      </c>
      <c r="C5" s="19">
        <f>IFERROR('DATA SHEET'!B17,0)</f>
        <v>263158.98</v>
      </c>
      <c r="D5" s="11">
        <f>IFERROR('DATA SHEET'!C17,0)</f>
        <v>273045.59999999998</v>
      </c>
      <c r="E5" s="11">
        <f>IFERROR('DATA SHEET'!D17,0)</f>
        <v>269692.51</v>
      </c>
      <c r="F5" s="11">
        <f>IFERROR('DATA SHEET'!E17,0)</f>
        <v>291550.48</v>
      </c>
      <c r="G5" s="11">
        <f>IFERROR('DATA SHEET'!F17,0)</f>
        <v>301938.40000000002</v>
      </c>
      <c r="H5" s="11">
        <f>IFERROR('DATA SHEET'!G17,0)</f>
        <v>261067.97</v>
      </c>
      <c r="I5" s="11">
        <f>IFERROR('DATA SHEET'!H17,0)</f>
        <v>249794.75</v>
      </c>
      <c r="J5" s="11">
        <f>IFERROR('DATA SHEET'!I17,0)</f>
        <v>278453.62</v>
      </c>
      <c r="K5" s="11">
        <f>IFERROR('DATA SHEET'!J17,0)</f>
        <v>345966.97</v>
      </c>
      <c r="L5" s="11">
        <f>IFERROR('DATA SHEET'!K17,0)</f>
        <v>437927.77</v>
      </c>
      <c r="M5" s="11">
        <f>IFERROR(SUM('DATA SHEET'!H42:K42),0)</f>
        <v>443059</v>
      </c>
    </row>
    <row r="6" spans="1:13">
      <c r="B6" s="16" t="s">
        <v>59</v>
      </c>
      <c r="D6" s="7">
        <f>D5/C5-1</f>
        <v>3.75690010654397E-2</v>
      </c>
      <c r="E6" s="7">
        <f t="shared" ref="E6:H6" si="0">E5/D5-1</f>
        <v>-1.2280329732469508E-2</v>
      </c>
      <c r="F6" s="7">
        <f t="shared" si="0"/>
        <v>8.104774581985974E-2</v>
      </c>
      <c r="G6" s="7">
        <f t="shared" si="0"/>
        <v>3.5629919045237157E-2</v>
      </c>
      <c r="H6" s="7">
        <f t="shared" si="0"/>
        <v>-0.135360159555724</v>
      </c>
      <c r="I6" s="7">
        <f t="shared" ref="I6" si="1">I5/H5-1</f>
        <v>-4.3181168490336042E-2</v>
      </c>
      <c r="J6" s="7">
        <f t="shared" ref="J6" si="2">J5/I5-1</f>
        <v>0.11472967306158344</v>
      </c>
      <c r="K6" s="7">
        <f t="shared" ref="K6" si="3">K5/J5-1</f>
        <v>0.24245815155859707</v>
      </c>
      <c r="L6" s="7">
        <f t="shared" ref="L6" si="4">L5/K5-1</f>
        <v>0.26580803363974326</v>
      </c>
      <c r="M6" s="11"/>
    </row>
    <row r="7" spans="1:13">
      <c r="M7" s="11"/>
    </row>
    <row r="8" spans="1:13">
      <c r="B8" s="10" t="s">
        <v>60</v>
      </c>
      <c r="C8" s="11">
        <f>IFERROR(SUM('DATA SHEET'!B18,'DATA SHEET'!B20,'DATA SHEET'!B21,'DATA SHEET'!B22)-1*'DATA SHEET'!B19,0)</f>
        <v>202856.88</v>
      </c>
      <c r="D8" s="11">
        <f>IFERROR(SUM('DATA SHEET'!C18,'DATA SHEET'!C20,'DATA SHEET'!C21,'DATA SHEET'!C22)-1*'DATA SHEET'!C19,0)</f>
        <v>205509.07</v>
      </c>
      <c r="E8" s="11">
        <f>IFERROR(SUM('DATA SHEET'!D18,'DATA SHEET'!D20,'DATA SHEET'!D21,'DATA SHEET'!D22)-1*'DATA SHEET'!D19,0)</f>
        <v>205454.23999999996</v>
      </c>
      <c r="F8" s="11">
        <f>IFERROR(SUM('DATA SHEET'!E18,'DATA SHEET'!E20,'DATA SHEET'!E21,'DATA SHEET'!E22)-1*'DATA SHEET'!E19,0)</f>
        <v>228429.83</v>
      </c>
      <c r="G8" s="11">
        <f>IFERROR(SUM('DATA SHEET'!F18,'DATA SHEET'!F20,'DATA SHEET'!F21,'DATA SHEET'!F22)-1*'DATA SHEET'!F19,0)</f>
        <v>242845.53</v>
      </c>
      <c r="H8" s="11">
        <f>IFERROR(SUM('DATA SHEET'!G18,'DATA SHEET'!G20,'DATA SHEET'!G21,'DATA SHEET'!G22)-1*'DATA SHEET'!G19,0)</f>
        <v>210376.07000000004</v>
      </c>
      <c r="I8" s="11">
        <f>IFERROR(SUM('DATA SHEET'!H18,'DATA SHEET'!H20,'DATA SHEET'!H21,'DATA SHEET'!H22)-1*'DATA SHEET'!H19,0)</f>
        <v>195326.04</v>
      </c>
      <c r="J8" s="11">
        <f>IFERROR(SUM('DATA SHEET'!I18,'DATA SHEET'!I20,'DATA SHEET'!I21,'DATA SHEET'!I22)-1*'DATA SHEET'!I19,0)</f>
        <v>223300.00999999998</v>
      </c>
      <c r="K8" s="11">
        <f>IFERROR(SUM('DATA SHEET'!J18,'DATA SHEET'!J20,'DATA SHEET'!J21,'DATA SHEET'!J22)-1*'DATA SHEET'!J19,0)</f>
        <v>274403.64</v>
      </c>
      <c r="L8" s="11">
        <f>IFERROR(SUM('DATA SHEET'!K18,'DATA SHEET'!K20,'DATA SHEET'!K21,'DATA SHEET'!K22)-1*'DATA SHEET'!K19,0)</f>
        <v>334551.78999999998</v>
      </c>
      <c r="M8" s="11"/>
    </row>
    <row r="9" spans="1:13">
      <c r="B9" s="16" t="s">
        <v>61</v>
      </c>
      <c r="C9" s="7">
        <f>C8/C5</f>
        <v>0.77085296500237244</v>
      </c>
      <c r="D9" s="7">
        <f t="shared" ref="D9:I9" si="5">D8/D5</f>
        <v>0.75265475803309057</v>
      </c>
      <c r="E9" s="7">
        <f t="shared" si="5"/>
        <v>0.76180921746770036</v>
      </c>
      <c r="F9" s="7">
        <f t="shared" si="5"/>
        <v>0.78350009919380004</v>
      </c>
      <c r="G9" s="7">
        <f t="shared" si="5"/>
        <v>0.80428832503583503</v>
      </c>
      <c r="H9" s="7">
        <f t="shared" si="5"/>
        <v>0.80582872728508226</v>
      </c>
      <c r="I9" s="7">
        <f t="shared" si="5"/>
        <v>0.7819461377791167</v>
      </c>
      <c r="J9" s="7">
        <f t="shared" ref="J9" si="6">J8/J5</f>
        <v>0.80192891728252624</v>
      </c>
      <c r="K9" s="7">
        <f t="shared" ref="K9" si="7">K8/K5</f>
        <v>0.79314982005363122</v>
      </c>
      <c r="L9" s="7">
        <f t="shared" ref="L9" si="8">L8/L5</f>
        <v>0.76394285295038489</v>
      </c>
      <c r="M9" s="11"/>
    </row>
    <row r="10" spans="1:13">
      <c r="M10" s="11"/>
    </row>
    <row r="11" spans="1:13" ht="15.75" thickBot="1">
      <c r="B11" s="10" t="s">
        <v>62</v>
      </c>
      <c r="C11" s="39">
        <f>C5-C8</f>
        <v>60302.099999999977</v>
      </c>
      <c r="D11" s="39">
        <f t="shared" ref="D11:L11" si="9">D5-D8</f>
        <v>67536.52999999997</v>
      </c>
      <c r="E11" s="39">
        <f t="shared" si="9"/>
        <v>64238.270000000048</v>
      </c>
      <c r="F11" s="39">
        <f t="shared" si="9"/>
        <v>63120.649999999994</v>
      </c>
      <c r="G11" s="39">
        <f t="shared" si="9"/>
        <v>59092.870000000024</v>
      </c>
      <c r="H11" s="39">
        <f t="shared" si="9"/>
        <v>50691.899999999965</v>
      </c>
      <c r="I11" s="39">
        <f t="shared" si="9"/>
        <v>54468.709999999992</v>
      </c>
      <c r="J11" s="39">
        <f t="shared" si="9"/>
        <v>55153.610000000015</v>
      </c>
      <c r="K11" s="39">
        <f t="shared" si="9"/>
        <v>71563.329999999958</v>
      </c>
      <c r="L11" s="39">
        <f t="shared" si="9"/>
        <v>103375.98000000004</v>
      </c>
      <c r="M11" s="11"/>
    </row>
    <row r="12" spans="1:13" ht="15.75" thickTop="1">
      <c r="B12" s="38" t="s">
        <v>124</v>
      </c>
      <c r="M12" s="11"/>
    </row>
    <row r="13" spans="1:13">
      <c r="M13" s="11"/>
    </row>
    <row r="14" spans="1:13">
      <c r="B14" s="10" t="s">
        <v>63</v>
      </c>
      <c r="C14" s="11">
        <f>IFERROR(SUM('DATA SHEET'!B23,'DATA SHEET'!B24),0)</f>
        <v>21063.449999999997</v>
      </c>
      <c r="D14" s="11">
        <f>IFERROR(SUM('DATA SHEET'!C23,'DATA SHEET'!C24),0)</f>
        <v>29141.280000000002</v>
      </c>
      <c r="E14" s="11">
        <f>IFERROR(SUM('DATA SHEET'!D23,'DATA SHEET'!D24),0)</f>
        <v>34649.58</v>
      </c>
      <c r="F14" s="11">
        <f>IFERROR(SUM('DATA SHEET'!E23,'DATA SHEET'!E24),0)</f>
        <v>31662.97</v>
      </c>
      <c r="G14" s="11">
        <f>IFERROR(SUM('DATA SHEET'!F23,'DATA SHEET'!F24),0)</f>
        <v>34428.54</v>
      </c>
      <c r="H14" s="11">
        <f>IFERROR(SUM('DATA SHEET'!G23,'DATA SHEET'!G24),0)</f>
        <v>32704.83</v>
      </c>
      <c r="I14" s="11">
        <f>IFERROR(SUM('DATA SHEET'!H23,'DATA SHEET'!H24),0)</f>
        <v>22181.280000000002</v>
      </c>
      <c r="J14" s="11">
        <f>IFERROR(SUM('DATA SHEET'!I23,'DATA SHEET'!I24),0)</f>
        <v>30433.52</v>
      </c>
      <c r="K14" s="11">
        <f>IFERROR(SUM('DATA SHEET'!J23,'DATA SHEET'!J24),0)</f>
        <v>39747.53</v>
      </c>
      <c r="L14" s="11">
        <f>IFERROR(SUM('DATA SHEET'!K23,'DATA SHEET'!K24),0)</f>
        <v>43837.64</v>
      </c>
      <c r="M14" s="11"/>
    </row>
    <row r="15" spans="1:13">
      <c r="B15" s="16" t="s">
        <v>64</v>
      </c>
      <c r="C15" s="7">
        <f>C14/C5</f>
        <v>8.0040779911823637E-2</v>
      </c>
      <c r="D15" s="7">
        <f t="shared" ref="D15:L15" si="10">D14/D5</f>
        <v>0.10672678849247161</v>
      </c>
      <c r="E15" s="7">
        <f t="shared" si="10"/>
        <v>0.12847809529452636</v>
      </c>
      <c r="F15" s="7">
        <f t="shared" si="10"/>
        <v>0.10860201636437025</v>
      </c>
      <c r="G15" s="7">
        <f t="shared" si="10"/>
        <v>0.11402504616835751</v>
      </c>
      <c r="H15" s="7">
        <f t="shared" si="10"/>
        <v>0.12527323822987554</v>
      </c>
      <c r="I15" s="7">
        <f t="shared" si="10"/>
        <v>8.8798023177028354E-2</v>
      </c>
      <c r="J15" s="7">
        <f t="shared" si="10"/>
        <v>0.10929475436519734</v>
      </c>
      <c r="K15" s="7">
        <f t="shared" si="10"/>
        <v>0.11488822184383672</v>
      </c>
      <c r="L15" s="7">
        <f t="shared" si="10"/>
        <v>0.10010244383451636</v>
      </c>
      <c r="M15" s="11"/>
    </row>
    <row r="16" spans="1:13">
      <c r="M16" s="11"/>
    </row>
    <row r="17" spans="2:13">
      <c r="B17" s="10" t="s">
        <v>65</v>
      </c>
      <c r="C17" s="11">
        <f>C11-C14</f>
        <v>39238.64999999998</v>
      </c>
      <c r="D17" s="11">
        <f t="shared" ref="D17:L17" si="11">D11-D14</f>
        <v>38395.249999999971</v>
      </c>
      <c r="E17" s="11">
        <f t="shared" si="11"/>
        <v>29588.690000000046</v>
      </c>
      <c r="F17" s="11">
        <f t="shared" si="11"/>
        <v>31457.679999999993</v>
      </c>
      <c r="G17" s="11">
        <f t="shared" si="11"/>
        <v>24664.330000000024</v>
      </c>
      <c r="H17" s="11">
        <f t="shared" si="11"/>
        <v>17987.069999999963</v>
      </c>
      <c r="I17" s="11">
        <f t="shared" si="11"/>
        <v>32287.429999999989</v>
      </c>
      <c r="J17" s="11">
        <f t="shared" si="11"/>
        <v>24720.090000000015</v>
      </c>
      <c r="K17" s="11">
        <f t="shared" si="11"/>
        <v>31815.799999999959</v>
      </c>
      <c r="L17" s="11">
        <f t="shared" si="11"/>
        <v>59538.34000000004</v>
      </c>
      <c r="M17" s="11"/>
    </row>
    <row r="18" spans="2:13">
      <c r="B18" s="16" t="s">
        <v>66</v>
      </c>
      <c r="C18" s="7">
        <f>C17/C5</f>
        <v>0.14910625508580397</v>
      </c>
      <c r="D18" s="7">
        <f t="shared" ref="D18:L18" si="12">D17/D5</f>
        <v>0.14061845347443788</v>
      </c>
      <c r="E18" s="7">
        <f t="shared" si="12"/>
        <v>0.10971268723777329</v>
      </c>
      <c r="F18" s="7">
        <f t="shared" si="12"/>
        <v>0.10789788444182975</v>
      </c>
      <c r="G18" s="7">
        <f t="shared" si="12"/>
        <v>8.1686628795807431E-2</v>
      </c>
      <c r="H18" s="7">
        <f t="shared" si="12"/>
        <v>6.8898034485042198E-2</v>
      </c>
      <c r="I18" s="7">
        <f t="shared" si="12"/>
        <v>0.12925583904385496</v>
      </c>
      <c r="J18" s="7">
        <f t="shared" si="12"/>
        <v>8.877632835227646E-2</v>
      </c>
      <c r="K18" s="7">
        <f t="shared" si="12"/>
        <v>9.1961958102532049E-2</v>
      </c>
      <c r="L18" s="7">
        <f t="shared" si="12"/>
        <v>0.13595470321509878</v>
      </c>
      <c r="M18" s="11"/>
    </row>
    <row r="19" spans="2:13">
      <c r="M19" s="11"/>
    </row>
    <row r="20" spans="2:13">
      <c r="B20" s="10" t="s">
        <v>67</v>
      </c>
      <c r="C20" s="14">
        <f>IFERROR('DATA SHEET'!B27,0)</f>
        <v>4861.49</v>
      </c>
      <c r="D20" s="14">
        <f>IFERROR('DATA SHEET'!C27,0)</f>
        <v>4889.08</v>
      </c>
      <c r="E20" s="14">
        <f>IFERROR('DATA SHEET'!D27,0)</f>
        <v>4238.01</v>
      </c>
      <c r="F20" s="14">
        <f>IFERROR('DATA SHEET'!E27,0)</f>
        <v>4681.79</v>
      </c>
      <c r="G20" s="14">
        <f>IFERROR('DATA SHEET'!F27,0)</f>
        <v>5758.6</v>
      </c>
      <c r="H20" s="14">
        <f>IFERROR('DATA SHEET'!G27,0)</f>
        <v>7243.33</v>
      </c>
      <c r="I20" s="14">
        <f>IFERROR('DATA SHEET'!H27,0)</f>
        <v>8097.17</v>
      </c>
      <c r="J20" s="14">
        <f>IFERROR('DATA SHEET'!I27,0)</f>
        <v>9311.86</v>
      </c>
      <c r="K20" s="14">
        <f>IFERROR('DATA SHEET'!J27,0)</f>
        <v>10225.48</v>
      </c>
      <c r="L20" s="14">
        <f>IFERROR('DATA SHEET'!K27,0)</f>
        <v>9985.76</v>
      </c>
      <c r="M20" s="11"/>
    </row>
    <row r="21" spans="2:13">
      <c r="B21" s="16" t="s">
        <v>68</v>
      </c>
      <c r="C21" s="7">
        <f>C20/C5</f>
        <v>1.8473585814932098E-2</v>
      </c>
      <c r="D21" s="7">
        <f t="shared" ref="D21:L21" si="13">D20/D5</f>
        <v>1.7905727101993223E-2</v>
      </c>
      <c r="E21" s="7">
        <f t="shared" si="13"/>
        <v>1.5714229512714312E-2</v>
      </c>
      <c r="F21" s="7">
        <f t="shared" si="13"/>
        <v>1.605824830060304E-2</v>
      </c>
      <c r="G21" s="7">
        <f t="shared" si="13"/>
        <v>1.9072102124141878E-2</v>
      </c>
      <c r="H21" s="7">
        <f t="shared" si="13"/>
        <v>2.7744996829752802E-2</v>
      </c>
      <c r="I21" s="7">
        <f t="shared" si="13"/>
        <v>3.2415292955516477E-2</v>
      </c>
      <c r="J21" s="7">
        <f t="shared" si="13"/>
        <v>3.3441332168710897E-2</v>
      </c>
      <c r="K21" s="7">
        <f t="shared" si="13"/>
        <v>2.9556231914277829E-2</v>
      </c>
      <c r="L21" s="7">
        <f t="shared" si="13"/>
        <v>2.2802299109736749E-2</v>
      </c>
      <c r="M21" s="11"/>
    </row>
    <row r="22" spans="2:13">
      <c r="M22" s="11"/>
    </row>
    <row r="23" spans="2:13">
      <c r="B23" s="10" t="s">
        <v>69</v>
      </c>
      <c r="C23" s="15">
        <f>IFERROR('DATA SHEET'!B26,0)</f>
        <v>13388.63</v>
      </c>
      <c r="D23" s="15">
        <f>IFERROR('DATA SHEET'!C26,0)</f>
        <v>16710.78</v>
      </c>
      <c r="E23" s="15">
        <f>IFERROR('DATA SHEET'!D26,0)</f>
        <v>17904.990000000002</v>
      </c>
      <c r="F23" s="15">
        <f>IFERROR('DATA SHEET'!E26,0)</f>
        <v>21553.59</v>
      </c>
      <c r="G23" s="15">
        <f>IFERROR('DATA SHEET'!F26,0)</f>
        <v>23590.63</v>
      </c>
      <c r="H23" s="15">
        <f>IFERROR('DATA SHEET'!G26,0)</f>
        <v>21425.43</v>
      </c>
      <c r="I23" s="15">
        <f>IFERROR('DATA SHEET'!H26,0)</f>
        <v>23546.71</v>
      </c>
      <c r="J23" s="15">
        <f>IFERROR('DATA SHEET'!I26,0)</f>
        <v>24835.69</v>
      </c>
      <c r="K23" s="15">
        <f>IFERROR('DATA SHEET'!J26,0)</f>
        <v>24860.36</v>
      </c>
      <c r="L23" s="15">
        <f>IFERROR('DATA SHEET'!K26,0)</f>
        <v>27270.13</v>
      </c>
      <c r="M23" s="11"/>
    </row>
    <row r="24" spans="2:13">
      <c r="B24" s="16" t="s">
        <v>70</v>
      </c>
      <c r="C24" s="7">
        <f>C23/C5</f>
        <v>5.0876584184966822E-2</v>
      </c>
      <c r="D24" s="7">
        <f t="shared" ref="D24:L24" si="14">D23/D5</f>
        <v>6.1201425695927715E-2</v>
      </c>
      <c r="E24" s="7">
        <f t="shared" si="14"/>
        <v>6.63903865924938E-2</v>
      </c>
      <c r="F24" s="7">
        <f t="shared" si="14"/>
        <v>7.3927472182518786E-2</v>
      </c>
      <c r="G24" s="7">
        <f t="shared" si="14"/>
        <v>7.8130605447998658E-2</v>
      </c>
      <c r="H24" s="7">
        <f t="shared" si="14"/>
        <v>8.206839774331566E-2</v>
      </c>
      <c r="I24" s="7">
        <f t="shared" si="14"/>
        <v>9.4264230933596482E-2</v>
      </c>
      <c r="J24" s="7">
        <f t="shared" si="14"/>
        <v>8.9191478279219347E-2</v>
      </c>
      <c r="K24" s="7">
        <f t="shared" si="14"/>
        <v>7.1857611147098821E-2</v>
      </c>
      <c r="L24" s="7">
        <f t="shared" si="14"/>
        <v>6.2270839777984394E-2</v>
      </c>
      <c r="M24" s="11"/>
    </row>
    <row r="25" spans="2:13">
      <c r="M25" s="11"/>
    </row>
    <row r="26" spans="2:13">
      <c r="B26" s="10" t="s">
        <v>71</v>
      </c>
      <c r="C26" s="14">
        <f>IFERROR('DATA SHEET'!B28,0)</f>
        <v>21702.560000000001</v>
      </c>
      <c r="D26" s="14">
        <f>IFERROR('DATA SHEET'!C28,0)</f>
        <v>14125.77</v>
      </c>
      <c r="E26" s="14">
        <f>IFERROR('DATA SHEET'!D28,0)</f>
        <v>9314.7900000000009</v>
      </c>
      <c r="F26" s="14">
        <f>IFERROR('DATA SHEET'!E28,0)</f>
        <v>11155.03</v>
      </c>
      <c r="G26" s="14">
        <f>IFERROR('DATA SHEET'!F28,0)</f>
        <v>-31371.15</v>
      </c>
      <c r="H26" s="14">
        <f>IFERROR('DATA SHEET'!G28,0)</f>
        <v>-10579.98</v>
      </c>
      <c r="I26" s="14">
        <f>IFERROR('DATA SHEET'!H28,0)</f>
        <v>-10474.280000000001</v>
      </c>
      <c r="J26" s="14">
        <f>IFERROR('DATA SHEET'!I28,0)</f>
        <v>-7003.41</v>
      </c>
      <c r="K26" s="14">
        <f>IFERROR('DATA SHEET'!J28,0)</f>
        <v>3393.93</v>
      </c>
      <c r="L26" s="14">
        <f>IFERROR('DATA SHEET'!K28,0)</f>
        <v>27955.11</v>
      </c>
      <c r="M26" s="11"/>
    </row>
    <row r="27" spans="2:13">
      <c r="B27" s="16" t="s">
        <v>72</v>
      </c>
      <c r="C27" s="7">
        <f>C26/C5</f>
        <v>8.246938789624432E-2</v>
      </c>
      <c r="D27" s="7">
        <f t="shared" ref="D27:L27" si="15">D26/D5</f>
        <v>5.1734105951533375E-2</v>
      </c>
      <c r="E27" s="7">
        <f t="shared" si="15"/>
        <v>3.453855652127677E-2</v>
      </c>
      <c r="F27" s="7">
        <f t="shared" si="15"/>
        <v>3.8261058599526235E-2</v>
      </c>
      <c r="G27" s="7">
        <f t="shared" si="15"/>
        <v>-0.10389917281140788</v>
      </c>
      <c r="H27" s="7">
        <f t="shared" si="15"/>
        <v>-4.0525768059559354E-2</v>
      </c>
      <c r="I27" s="7">
        <f t="shared" si="15"/>
        <v>-4.1931545799101064E-2</v>
      </c>
      <c r="J27" s="7">
        <f t="shared" si="15"/>
        <v>-2.5151082611172375E-2</v>
      </c>
      <c r="K27" s="7">
        <f t="shared" si="15"/>
        <v>9.809982727541881E-3</v>
      </c>
      <c r="L27" s="7">
        <f t="shared" si="15"/>
        <v>6.3834978996650513E-2</v>
      </c>
      <c r="M27" s="11"/>
    </row>
    <row r="28" spans="2:13">
      <c r="M28" s="11"/>
    </row>
    <row r="29" spans="2:13">
      <c r="B29" s="10" t="s">
        <v>73</v>
      </c>
      <c r="C29" s="14">
        <f>IFERROR('DATA SHEET'!B29,0)</f>
        <v>7642.91</v>
      </c>
      <c r="D29" s="14">
        <f>IFERROR('DATA SHEET'!C29,0)</f>
        <v>3025.05</v>
      </c>
      <c r="E29" s="14">
        <f>IFERROR('DATA SHEET'!D29,0)</f>
        <v>3251.23</v>
      </c>
      <c r="F29" s="14">
        <f>IFERROR('DATA SHEET'!E29,0)</f>
        <v>4341.93</v>
      </c>
      <c r="G29" s="14">
        <f>IFERROR('DATA SHEET'!F29,0)</f>
        <v>-2437.4499999999998</v>
      </c>
      <c r="H29" s="14">
        <f>IFERROR('DATA SHEET'!G29,0)</f>
        <v>395.25</v>
      </c>
      <c r="I29" s="14">
        <f>IFERROR('DATA SHEET'!H29,0)</f>
        <v>2541.86</v>
      </c>
      <c r="J29" s="14">
        <f>IFERROR('DATA SHEET'!I29,0)</f>
        <v>4231.29</v>
      </c>
      <c r="K29" s="14">
        <f>IFERROR('DATA SHEET'!J29,0)</f>
        <v>704.06</v>
      </c>
      <c r="L29" s="14">
        <f>IFERROR('DATA SHEET'!K29,0)</f>
        <v>-3851.64</v>
      </c>
      <c r="M29" s="11"/>
    </row>
    <row r="30" spans="2:13">
      <c r="B30" s="16" t="s">
        <v>74</v>
      </c>
      <c r="C30" s="7">
        <f>C29/C26</f>
        <v>0.3521662882166896</v>
      </c>
      <c r="D30" s="7">
        <f t="shared" ref="D30:L30" si="16">D29/D26</f>
        <v>0.21415115777759372</v>
      </c>
      <c r="E30" s="7">
        <f t="shared" si="16"/>
        <v>0.34903953819678163</v>
      </c>
      <c r="F30" s="7">
        <f t="shared" si="16"/>
        <v>0.38923517014297587</v>
      </c>
      <c r="G30" s="7">
        <f t="shared" si="16"/>
        <v>7.7697183558779317E-2</v>
      </c>
      <c r="H30" s="7">
        <f t="shared" si="16"/>
        <v>-3.735829368297483E-2</v>
      </c>
      <c r="I30" s="7">
        <f t="shared" si="16"/>
        <v>-0.24267634625005249</v>
      </c>
      <c r="J30" s="7">
        <f t="shared" si="16"/>
        <v>-0.60417568013296385</v>
      </c>
      <c r="K30" s="7">
        <f t="shared" si="16"/>
        <v>0.20744682418317406</v>
      </c>
      <c r="L30" s="7">
        <f t="shared" si="16"/>
        <v>-0.13777946142941308</v>
      </c>
      <c r="M30" s="11"/>
    </row>
    <row r="31" spans="2:13">
      <c r="M31" s="11"/>
    </row>
    <row r="32" spans="2:13">
      <c r="B32" s="10" t="s">
        <v>75</v>
      </c>
      <c r="C32" s="14">
        <f>C26-C29</f>
        <v>14059.650000000001</v>
      </c>
      <c r="D32" s="14">
        <f t="shared" ref="D32:L32" si="17">D26-D29</f>
        <v>11100.720000000001</v>
      </c>
      <c r="E32" s="14">
        <f t="shared" si="17"/>
        <v>6063.5600000000013</v>
      </c>
      <c r="F32" s="14">
        <f t="shared" si="17"/>
        <v>6813.1</v>
      </c>
      <c r="G32" s="14">
        <f t="shared" si="17"/>
        <v>-28933.7</v>
      </c>
      <c r="H32" s="14">
        <f t="shared" si="17"/>
        <v>-10975.23</v>
      </c>
      <c r="I32" s="14">
        <f t="shared" si="17"/>
        <v>-13016.140000000001</v>
      </c>
      <c r="J32" s="14">
        <f t="shared" si="17"/>
        <v>-11234.7</v>
      </c>
      <c r="K32" s="14">
        <f t="shared" si="17"/>
        <v>2689.87</v>
      </c>
      <c r="L32" s="14">
        <f t="shared" si="17"/>
        <v>31806.75</v>
      </c>
      <c r="M32" s="11"/>
    </row>
    <row r="33" spans="1:13">
      <c r="B33" s="16" t="s">
        <v>76</v>
      </c>
      <c r="C33" s="7">
        <f>C32/C5</f>
        <v>5.3426449669321571E-2</v>
      </c>
      <c r="D33" s="7">
        <f t="shared" ref="D33:L33" si="18">D32/D5</f>
        <v>4.0655187265423803E-2</v>
      </c>
      <c r="E33" s="7">
        <f t="shared" si="18"/>
        <v>2.2483234703106886E-2</v>
      </c>
      <c r="F33" s="7">
        <f t="shared" si="18"/>
        <v>2.336850894568927E-2</v>
      </c>
      <c r="G33" s="7">
        <f t="shared" si="18"/>
        <v>-9.5826499709874585E-2</v>
      </c>
      <c r="H33" s="7">
        <f t="shared" si="18"/>
        <v>-4.203974160445649E-2</v>
      </c>
      <c r="I33" s="7">
        <f t="shared" si="18"/>
        <v>-5.2107340126243649E-2</v>
      </c>
      <c r="J33" s="7">
        <f t="shared" si="18"/>
        <v>-4.0346755053857805E-2</v>
      </c>
      <c r="K33" s="7">
        <f t="shared" si="18"/>
        <v>7.7749329654215257E-3</v>
      </c>
      <c r="L33" s="7">
        <f t="shared" si="18"/>
        <v>7.2630128023166929E-2</v>
      </c>
      <c r="M33" s="11"/>
    </row>
    <row r="35" spans="1:13">
      <c r="B35" s="10" t="s">
        <v>77</v>
      </c>
      <c r="C35">
        <f>IFERROR('DATA SHEET'!B93,0)</f>
        <v>288.74</v>
      </c>
      <c r="D35">
        <f>IFERROR('DATA SHEET'!C93,0)</f>
        <v>288.72000000000003</v>
      </c>
      <c r="E35">
        <f>IFERROR('DATA SHEET'!D93,0)</f>
        <v>288.73</v>
      </c>
      <c r="F35">
        <f>IFERROR('DATA SHEET'!E93,0)</f>
        <v>288.73</v>
      </c>
      <c r="G35">
        <f>IFERROR('DATA SHEET'!F93,0)</f>
        <v>288.73</v>
      </c>
      <c r="H35">
        <f>IFERROR('DATA SHEET'!G93,0)</f>
        <v>308.89999999999998</v>
      </c>
      <c r="I35">
        <f>IFERROR('DATA SHEET'!H93,0)</f>
        <v>332.03</v>
      </c>
      <c r="J35">
        <f>IFERROR('DATA SHEET'!I93,0)</f>
        <v>332.07</v>
      </c>
      <c r="K35">
        <f>IFERROR('DATA SHEET'!J93,0)</f>
        <v>332.13</v>
      </c>
      <c r="L35">
        <f>IFERROR('DATA SHEET'!K93,0)</f>
        <v>332.37</v>
      </c>
    </row>
    <row r="37" spans="1:13">
      <c r="B37" s="10" t="s">
        <v>9</v>
      </c>
      <c r="C37" s="14">
        <f>C32/C35</f>
        <v>48.693114913070588</v>
      </c>
      <c r="D37" s="14">
        <f t="shared" ref="D37:L37" si="19">D32/D35</f>
        <v>38.44804655029094</v>
      </c>
      <c r="E37" s="14">
        <f t="shared" si="19"/>
        <v>21.000796591971742</v>
      </c>
      <c r="F37" s="14">
        <f t="shared" si="19"/>
        <v>23.596785924566202</v>
      </c>
      <c r="G37" s="14">
        <f t="shared" si="19"/>
        <v>-100.21023101167179</v>
      </c>
      <c r="H37" s="14">
        <f t="shared" si="19"/>
        <v>-35.530042084817097</v>
      </c>
      <c r="I37" s="14">
        <f t="shared" si="19"/>
        <v>-39.201698641689013</v>
      </c>
      <c r="J37" s="14">
        <f t="shared" si="19"/>
        <v>-33.832324509892494</v>
      </c>
      <c r="K37" s="14">
        <f t="shared" si="19"/>
        <v>8.0988468370818651</v>
      </c>
      <c r="L37" s="14">
        <f t="shared" si="19"/>
        <v>95.696813791858474</v>
      </c>
    </row>
    <row r="38" spans="1:13">
      <c r="B38" s="10" t="s">
        <v>78</v>
      </c>
      <c r="C38" s="14"/>
      <c r="D38" s="33"/>
      <c r="E38" s="33"/>
      <c r="F38" s="33"/>
      <c r="G38" s="33"/>
      <c r="H38" s="33"/>
      <c r="I38" s="33"/>
      <c r="J38" s="33"/>
      <c r="K38" s="33"/>
      <c r="L38" s="33"/>
    </row>
    <row r="39" spans="1:13">
      <c r="B39" s="10" t="s">
        <v>80</v>
      </c>
      <c r="C39" s="14">
        <f>IFERROR('DATA SHEET'!B31/'HISTORICAL FS'!C35,0)</f>
        <v>0</v>
      </c>
      <c r="D39" s="14">
        <f>IFERROR('DATA SHEET'!C31/'HISTORICAL FS'!D35,0)</f>
        <v>0.23524522028262676</v>
      </c>
      <c r="E39" s="14">
        <f>IFERROR('DATA SHEET'!D31/'HISTORICAL FS'!E35,0)</f>
        <v>0</v>
      </c>
      <c r="F39" s="14">
        <f>IFERROR('DATA SHEET'!E31/'HISTORICAL FS'!F35,0)</f>
        <v>0</v>
      </c>
      <c r="G39" s="14">
        <f>IFERROR('DATA SHEET'!F31/'HISTORICAL FS'!G35,0)</f>
        <v>0</v>
      </c>
      <c r="H39" s="14">
        <f>IFERROR('DATA SHEET'!G31/'HISTORICAL FS'!H35,0)</f>
        <v>0</v>
      </c>
      <c r="I39" s="14">
        <f>IFERROR('DATA SHEET'!H31/'HISTORICAL FS'!I35,0)</f>
        <v>0</v>
      </c>
      <c r="J39" s="14">
        <f>IFERROR('DATA SHEET'!I31/'HISTORICAL FS'!J35,0)</f>
        <v>0</v>
      </c>
      <c r="K39" s="14">
        <f>IFERROR('DATA SHEET'!J31/'HISTORICAL FS'!K35,0)</f>
        <v>2.3063860536536898</v>
      </c>
      <c r="L39" s="14">
        <f>IFERROR('DATA SHEET'!K31/'HISTORICAL FS'!L35,0)</f>
        <v>6.9184944489574871</v>
      </c>
    </row>
    <row r="40" spans="1:13">
      <c r="B40" s="10" t="s">
        <v>81</v>
      </c>
      <c r="C40" s="7">
        <f>IFERROR(C39/C37,0)</f>
        <v>0</v>
      </c>
      <c r="D40" s="7">
        <f t="shared" ref="D40:H40" si="20">IFERROR(D39/D37,0)</f>
        <v>6.1185220418135036E-3</v>
      </c>
      <c r="E40" s="7">
        <f t="shared" si="20"/>
        <v>0</v>
      </c>
      <c r="F40" s="7">
        <f t="shared" si="20"/>
        <v>0</v>
      </c>
      <c r="G40" s="7">
        <f t="shared" si="20"/>
        <v>0</v>
      </c>
      <c r="H40" s="7">
        <f t="shared" si="20"/>
        <v>0</v>
      </c>
      <c r="I40" s="7">
        <f t="shared" ref="I40" si="21">IFERROR(I39/I37,0)</f>
        <v>0</v>
      </c>
      <c r="J40" s="7">
        <f t="shared" ref="J40" si="22">IFERROR(J39/J37,0)</f>
        <v>0</v>
      </c>
      <c r="K40" s="7">
        <f t="shared" ref="K40" si="23">IFERROR(K39/K37,0)</f>
        <v>0.28477956183756092</v>
      </c>
      <c r="L40" s="7">
        <f t="shared" ref="L40" si="24">IFERROR(L39/L37,0)</f>
        <v>7.2295974910985869E-2</v>
      </c>
    </row>
    <row r="42" spans="1:13">
      <c r="B42" s="10" t="s">
        <v>82</v>
      </c>
      <c r="C42" s="7">
        <f>IFERROR(1-C40,0)</f>
        <v>1</v>
      </c>
      <c r="D42" s="7">
        <f t="shared" ref="D42:L42" si="25">IFERROR(1-D40,0)</f>
        <v>0.99388147795818649</v>
      </c>
      <c r="E42" s="7">
        <f t="shared" si="25"/>
        <v>1</v>
      </c>
      <c r="F42" s="7">
        <f t="shared" si="25"/>
        <v>1</v>
      </c>
      <c r="G42" s="7">
        <f t="shared" si="25"/>
        <v>1</v>
      </c>
      <c r="H42" s="7">
        <f t="shared" si="25"/>
        <v>1</v>
      </c>
      <c r="I42" s="7">
        <f t="shared" si="25"/>
        <v>1</v>
      </c>
      <c r="J42" s="7">
        <f t="shared" si="25"/>
        <v>1</v>
      </c>
      <c r="K42" s="7">
        <f t="shared" si="25"/>
        <v>0.71522043816243908</v>
      </c>
      <c r="L42" s="7">
        <f t="shared" si="25"/>
        <v>0.92770402508901417</v>
      </c>
    </row>
    <row r="43" spans="1:13">
      <c r="C43" s="7">
        <f>IFERROR(IF(C37&gt;C39,1-C40,0),0)</f>
        <v>1</v>
      </c>
      <c r="D43" s="7">
        <f t="shared" ref="D43:L43" si="26">IFERROR(IF(D37&gt;D39,1-D40,0),0)</f>
        <v>0.99388147795818649</v>
      </c>
      <c r="E43" s="7">
        <f t="shared" si="26"/>
        <v>1</v>
      </c>
      <c r="F43" s="7">
        <f t="shared" si="26"/>
        <v>1</v>
      </c>
      <c r="G43" s="7">
        <f t="shared" si="26"/>
        <v>0</v>
      </c>
      <c r="H43" s="7">
        <f t="shared" si="26"/>
        <v>0</v>
      </c>
      <c r="I43" s="7">
        <f t="shared" si="26"/>
        <v>0</v>
      </c>
      <c r="J43" s="7">
        <f t="shared" si="26"/>
        <v>0</v>
      </c>
      <c r="K43" s="7">
        <f t="shared" si="26"/>
        <v>0.71522043816243908</v>
      </c>
      <c r="L43" s="7">
        <f t="shared" si="26"/>
        <v>0.92770402508901417</v>
      </c>
    </row>
    <row r="45" spans="1:13">
      <c r="A45" s="10" t="s">
        <v>57</v>
      </c>
      <c r="B45" s="31" t="s">
        <v>45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3" ht="15.75" customHeight="1">
      <c r="B46" t="s">
        <v>10</v>
      </c>
      <c r="C46" s="14">
        <f>IFERROR('DATA SHEET'!B57,0)</f>
        <v>643.78</v>
      </c>
      <c r="D46" s="14">
        <f>IFERROR('DATA SHEET'!C57,0)</f>
        <v>679.18</v>
      </c>
      <c r="E46" s="14">
        <f>IFERROR('DATA SHEET'!D57,0)</f>
        <v>679.22</v>
      </c>
      <c r="F46" s="14">
        <f>IFERROR('DATA SHEET'!E57,0)</f>
        <v>679.22</v>
      </c>
      <c r="G46" s="14">
        <f>IFERROR('DATA SHEET'!F57,0)</f>
        <v>679.22</v>
      </c>
      <c r="H46" s="14">
        <f>IFERROR('DATA SHEET'!G57,0)</f>
        <v>719.54</v>
      </c>
      <c r="I46" s="14">
        <f>IFERROR('DATA SHEET'!H57,0)</f>
        <v>765.81</v>
      </c>
      <c r="J46" s="14">
        <f>IFERROR('DATA SHEET'!I57,0)</f>
        <v>765.88</v>
      </c>
      <c r="K46" s="14">
        <f>IFERROR('DATA SHEET'!J57,0)</f>
        <v>766.02</v>
      </c>
      <c r="L46" s="14">
        <f>IFERROR('DATA SHEET'!K57,0)</f>
        <v>766.5</v>
      </c>
    </row>
    <row r="47" spans="1:13">
      <c r="B47" t="s">
        <v>11</v>
      </c>
      <c r="C47" s="14">
        <f>IFERROR('DATA SHEET'!B58,0)</f>
        <v>55618.14</v>
      </c>
      <c r="D47" s="14">
        <f>IFERROR('DATA SHEET'!C58,0)</f>
        <v>78273.23</v>
      </c>
      <c r="E47" s="14">
        <f>IFERROR('DATA SHEET'!D58,0)</f>
        <v>57382.67</v>
      </c>
      <c r="F47" s="14">
        <f>IFERROR('DATA SHEET'!E58,0)</f>
        <v>94748.69</v>
      </c>
      <c r="G47" s="14">
        <f>IFERROR('DATA SHEET'!F58,0)</f>
        <v>59500.34</v>
      </c>
      <c r="H47" s="14">
        <f>IFERROR('DATA SHEET'!G58,0)</f>
        <v>62358.99</v>
      </c>
      <c r="I47" s="14">
        <f>IFERROR('DATA SHEET'!H58,0)</f>
        <v>54480.91</v>
      </c>
      <c r="J47" s="14">
        <f>IFERROR('DATA SHEET'!I58,0)</f>
        <v>43795.360000000001</v>
      </c>
      <c r="K47" s="14">
        <f>IFERROR('DATA SHEET'!J58,0)</f>
        <v>44555.77</v>
      </c>
      <c r="L47" s="14">
        <f>IFERROR('DATA SHEET'!K58,0)</f>
        <v>84151.52</v>
      </c>
    </row>
    <row r="48" spans="1:13">
      <c r="B48" t="s">
        <v>12</v>
      </c>
      <c r="C48" s="14">
        <f>IFERROR('DATA SHEET'!B59,0)</f>
        <v>73610.39</v>
      </c>
      <c r="D48" s="14">
        <f>IFERROR('DATA SHEET'!C59,0)</f>
        <v>69359.960000000006</v>
      </c>
      <c r="E48" s="14">
        <f>IFERROR('DATA SHEET'!D59,0)</f>
        <v>78603.98</v>
      </c>
      <c r="F48" s="14">
        <f>IFERROR('DATA SHEET'!E59,0)</f>
        <v>88950.47</v>
      </c>
      <c r="G48" s="14">
        <f>IFERROR('DATA SHEET'!F59,0)</f>
        <v>106175.34</v>
      </c>
      <c r="H48" s="14">
        <f>IFERROR('DATA SHEET'!G59,0)</f>
        <v>124787.64</v>
      </c>
      <c r="I48" s="14">
        <f>IFERROR('DATA SHEET'!H59,0)</f>
        <v>142130.57</v>
      </c>
      <c r="J48" s="14">
        <f>IFERROR('DATA SHEET'!I59,0)</f>
        <v>146449.03</v>
      </c>
      <c r="K48" s="14">
        <f>IFERROR('DATA SHEET'!J59,0)</f>
        <v>134113.44</v>
      </c>
      <c r="L48" s="14">
        <f>IFERROR('DATA SHEET'!K59,0)</f>
        <v>107262.5</v>
      </c>
    </row>
    <row r="49" spans="2:12">
      <c r="B49" t="s">
        <v>13</v>
      </c>
      <c r="C49" s="14">
        <f>IFERROR('DATA SHEET'!B60,0)</f>
        <v>107442.48</v>
      </c>
      <c r="D49" s="14">
        <f>IFERROR('DATA SHEET'!C60,0)</f>
        <v>114871.75</v>
      </c>
      <c r="E49" s="14">
        <f>IFERROR('DATA SHEET'!D60,0)</f>
        <v>135914.49</v>
      </c>
      <c r="F49" s="14">
        <f>IFERROR('DATA SHEET'!E60,0)</f>
        <v>142813.43</v>
      </c>
      <c r="G49" s="14">
        <f>IFERROR('DATA SHEET'!F60,0)</f>
        <v>139348.59</v>
      </c>
      <c r="H49" s="14">
        <f>IFERROR('DATA SHEET'!G60,0)</f>
        <v>132313.22</v>
      </c>
      <c r="I49" s="14">
        <f>IFERROR('DATA SHEET'!H60,0)</f>
        <v>144192.62</v>
      </c>
      <c r="J49" s="14">
        <f>IFERROR('DATA SHEET'!I60,0)</f>
        <v>138051.22</v>
      </c>
      <c r="K49" s="14">
        <f>IFERROR('DATA SHEET'!J60,0)</f>
        <v>155239.20000000001</v>
      </c>
      <c r="L49" s="14">
        <f>IFERROR('DATA SHEET'!K60,0)</f>
        <v>177340.09</v>
      </c>
    </row>
    <row r="50" spans="2:12" ht="15.75" thickBot="1">
      <c r="B50" s="20" t="s">
        <v>83</v>
      </c>
      <c r="C50" s="41">
        <f>SUM(C46:C49)</f>
        <v>237314.78999999998</v>
      </c>
      <c r="D50" s="41">
        <f>SUM(D46:D49)</f>
        <v>263184.12</v>
      </c>
      <c r="E50" s="41">
        <f t="shared" ref="E50:L50" si="27">SUM(E46:E49)</f>
        <v>272580.36</v>
      </c>
      <c r="F50" s="41">
        <f t="shared" si="27"/>
        <v>327191.81</v>
      </c>
      <c r="G50" s="41">
        <f t="shared" si="27"/>
        <v>305703.49</v>
      </c>
      <c r="H50" s="41">
        <f t="shared" si="27"/>
        <v>320179.39</v>
      </c>
      <c r="I50" s="41">
        <f t="shared" si="27"/>
        <v>341569.91000000003</v>
      </c>
      <c r="J50" s="41">
        <f t="shared" si="27"/>
        <v>329061.49</v>
      </c>
      <c r="K50" s="41">
        <f t="shared" si="27"/>
        <v>334674.43</v>
      </c>
      <c r="L50" s="41">
        <f t="shared" si="27"/>
        <v>369520.61</v>
      </c>
    </row>
    <row r="51" spans="2:12" ht="15.75" thickTop="1">
      <c r="B51" s="20"/>
      <c r="C51" s="14"/>
    </row>
    <row r="52" spans="2:12">
      <c r="B52" s="10" t="s">
        <v>118</v>
      </c>
      <c r="C52" s="14">
        <f>IFERROR('DATA SHEET'!B62,0)</f>
        <v>88479.49</v>
      </c>
      <c r="D52" s="14">
        <f>IFERROR('DATA SHEET'!C62,0)</f>
        <v>107231.76</v>
      </c>
      <c r="E52" s="14">
        <f>IFERROR('DATA SHEET'!D62,0)</f>
        <v>95944.08</v>
      </c>
      <c r="F52" s="14">
        <f>IFERROR('DATA SHEET'!E62,0)</f>
        <v>121413.86</v>
      </c>
      <c r="G52" s="14">
        <f>IFERROR('DATA SHEET'!F62,0)</f>
        <v>111234.47</v>
      </c>
      <c r="H52" s="14">
        <f>IFERROR('DATA SHEET'!G62,0)</f>
        <v>127107.14</v>
      </c>
      <c r="I52" s="14">
        <f>IFERROR('DATA SHEET'!H62,0)</f>
        <v>138707.60999999999</v>
      </c>
      <c r="J52" s="14">
        <f>IFERROR('DATA SHEET'!I62,0)</f>
        <v>138855.45000000001</v>
      </c>
      <c r="K52" s="14">
        <f>IFERROR('DATA SHEET'!J62,0)</f>
        <v>132079.76</v>
      </c>
      <c r="L52" s="14">
        <f>IFERROR('DATA SHEET'!K62,0)</f>
        <v>121285.46</v>
      </c>
    </row>
    <row r="53" spans="2:12">
      <c r="B53" t="s">
        <v>16</v>
      </c>
      <c r="C53" s="14">
        <f>IFERROR('DATA SHEET'!B63,0)</f>
        <v>28640.09</v>
      </c>
      <c r="D53" s="14">
        <f>IFERROR('DATA SHEET'!C63,0)</f>
        <v>25918.94</v>
      </c>
      <c r="E53" s="14">
        <f>IFERROR('DATA SHEET'!D63,0)</f>
        <v>33698.839999999997</v>
      </c>
      <c r="F53" s="14">
        <f>IFERROR('DATA SHEET'!E63,0)</f>
        <v>40033.5</v>
      </c>
      <c r="G53" s="14">
        <f>IFERROR('DATA SHEET'!F63,0)</f>
        <v>31883.84</v>
      </c>
      <c r="H53" s="14">
        <f>IFERROR('DATA SHEET'!G63,0)</f>
        <v>35622.29</v>
      </c>
      <c r="I53" s="14">
        <f>IFERROR('DATA SHEET'!H63,0)</f>
        <v>20963.93</v>
      </c>
      <c r="J53" s="14">
        <f>IFERROR('DATA SHEET'!I63,0)</f>
        <v>10251.09</v>
      </c>
      <c r="K53" s="14">
        <f>IFERROR('DATA SHEET'!J63,0)</f>
        <v>14274.5</v>
      </c>
      <c r="L53" s="14">
        <f>IFERROR('DATA SHEET'!K63,0)</f>
        <v>35698.43</v>
      </c>
    </row>
    <row r="54" spans="2:12">
      <c r="B54" t="s">
        <v>17</v>
      </c>
      <c r="C54" s="14">
        <f>IFERROR('DATA SHEET'!B64,0)</f>
        <v>15336.74</v>
      </c>
      <c r="D54" s="14">
        <f>IFERROR('DATA SHEET'!C64,0)</f>
        <v>23767.02</v>
      </c>
      <c r="E54" s="14">
        <f>IFERROR('DATA SHEET'!D64,0)</f>
        <v>20337.919999999998</v>
      </c>
      <c r="F54" s="14">
        <f>IFERROR('DATA SHEET'!E64,0)</f>
        <v>20812.75</v>
      </c>
      <c r="G54" s="14">
        <f>IFERROR('DATA SHEET'!F64,0)</f>
        <v>15770.72</v>
      </c>
      <c r="H54" s="14">
        <f>IFERROR('DATA SHEET'!G64,0)</f>
        <v>16308.48</v>
      </c>
      <c r="I54" s="14">
        <f>IFERROR('DATA SHEET'!H64,0)</f>
        <v>24620.28</v>
      </c>
      <c r="J54" s="14">
        <f>IFERROR('DATA SHEET'!I64,0)</f>
        <v>29379.53</v>
      </c>
      <c r="K54" s="14">
        <f>IFERROR('DATA SHEET'!J64,0)</f>
        <v>26379.16</v>
      </c>
      <c r="L54" s="14">
        <f>IFERROR('DATA SHEET'!K64,0)</f>
        <v>22971.07</v>
      </c>
    </row>
    <row r="55" spans="2:12">
      <c r="B55" t="s">
        <v>18</v>
      </c>
      <c r="C55" s="14">
        <f>'DATA SHEET'!B65-SUM('DATA SHEET'!B67:B69)</f>
        <v>30891.17</v>
      </c>
      <c r="D55" s="14">
        <f>'DATA SHEET'!C65-SUM('DATA SHEET'!C67:C69)</f>
        <v>29579.359999999986</v>
      </c>
      <c r="E55" s="14">
        <f>'DATA SHEET'!D65-SUM('DATA SHEET'!D67:D69)</f>
        <v>37360.780000000013</v>
      </c>
      <c r="F55" s="14">
        <f>'DATA SHEET'!E65-SUM('DATA SHEET'!E67:E69)</f>
        <v>48286.860000000015</v>
      </c>
      <c r="G55" s="14">
        <f>'DATA SHEET'!F65-SUM('DATA SHEET'!F67:F69)</f>
        <v>56155.739999999991</v>
      </c>
      <c r="H55" s="14">
        <f>'DATA SHEET'!G65-SUM('DATA SHEET'!G67:G69)</f>
        <v>58784.94</v>
      </c>
      <c r="I55" s="14">
        <f>'DATA SHEET'!H65-SUM('DATA SHEET'!H67:H69)</f>
        <v>61717.959999999992</v>
      </c>
      <c r="J55" s="14">
        <f>'DATA SHEET'!I65-SUM('DATA SHEET'!I67:I69)</f>
        <v>62223.770000000019</v>
      </c>
      <c r="K55" s="14">
        <f>'DATA SHEET'!J65-SUM('DATA SHEET'!J67:J69)</f>
        <v>68432.090000000011</v>
      </c>
      <c r="L55" s="14">
        <f>'DATA SHEET'!K65-SUM('DATA SHEET'!K67:K69)</f>
        <v>79018.859999999986</v>
      </c>
    </row>
    <row r="56" spans="2:12">
      <c r="B56" s="20" t="s">
        <v>84</v>
      </c>
      <c r="C56" s="40">
        <f t="shared" ref="C56:L56" si="28">SUM(C52:C55)</f>
        <v>163347.49</v>
      </c>
      <c r="D56" s="40">
        <f t="shared" si="28"/>
        <v>186497.07999999996</v>
      </c>
      <c r="E56" s="40">
        <f t="shared" si="28"/>
        <v>187341.62</v>
      </c>
      <c r="F56" s="40">
        <f t="shared" si="28"/>
        <v>230546.97</v>
      </c>
      <c r="G56" s="40">
        <f t="shared" si="28"/>
        <v>215044.77</v>
      </c>
      <c r="H56" s="40">
        <f t="shared" si="28"/>
        <v>237822.85</v>
      </c>
      <c r="I56" s="40">
        <f t="shared" si="28"/>
        <v>246009.77999999997</v>
      </c>
      <c r="J56" s="40">
        <f t="shared" si="28"/>
        <v>240709.84000000003</v>
      </c>
      <c r="K56" s="40">
        <f t="shared" si="28"/>
        <v>241165.51</v>
      </c>
      <c r="L56" s="40">
        <f t="shared" si="28"/>
        <v>258973.82</v>
      </c>
    </row>
    <row r="57" spans="2:12">
      <c r="B57" s="20"/>
      <c r="C57" s="14"/>
    </row>
    <row r="58" spans="2:12">
      <c r="B58" t="s">
        <v>46</v>
      </c>
      <c r="C58" s="14">
        <f>IFERROR('DATA SHEET'!B67,0)</f>
        <v>12579.2</v>
      </c>
      <c r="D58" s="14">
        <f>IFERROR('DATA SHEET'!C67,0)</f>
        <v>13570.91</v>
      </c>
      <c r="E58" s="14">
        <f>IFERROR('DATA SHEET'!D67,0)</f>
        <v>14075.55</v>
      </c>
      <c r="F58" s="14">
        <f>IFERROR('DATA SHEET'!E67,0)</f>
        <v>19893.3</v>
      </c>
      <c r="G58" s="14">
        <f>IFERROR('DATA SHEET'!F67,0)</f>
        <v>18996.169999999998</v>
      </c>
      <c r="H58" s="14">
        <f>IFERROR('DATA SHEET'!G67,0)</f>
        <v>11172.69</v>
      </c>
      <c r="I58" s="14">
        <f>IFERROR('DATA SHEET'!H67,0)</f>
        <v>12679.08</v>
      </c>
      <c r="J58" s="14">
        <f>IFERROR('DATA SHEET'!I67,0)</f>
        <v>12442.12</v>
      </c>
      <c r="K58" s="14">
        <f>IFERROR('DATA SHEET'!J67,0)</f>
        <v>15737.97</v>
      </c>
      <c r="L58" s="14">
        <f>IFERROR('DATA SHEET'!K67,0)</f>
        <v>16951.810000000001</v>
      </c>
    </row>
    <row r="59" spans="2:12">
      <c r="B59" t="s">
        <v>19</v>
      </c>
      <c r="C59" s="14">
        <f>IFERROR('DATA SHEET'!B68,0)</f>
        <v>29272.34</v>
      </c>
      <c r="D59" s="14">
        <f>IFERROR('DATA SHEET'!C68,0)</f>
        <v>32655.73</v>
      </c>
      <c r="E59" s="14">
        <f>IFERROR('DATA SHEET'!D68,0)</f>
        <v>35085.31</v>
      </c>
      <c r="F59" s="14">
        <f>IFERROR('DATA SHEET'!E68,0)</f>
        <v>42137.63</v>
      </c>
      <c r="G59" s="14">
        <f>IFERROR('DATA SHEET'!F68,0)</f>
        <v>39013.730000000003</v>
      </c>
      <c r="H59" s="14">
        <f>IFERROR('DATA SHEET'!G68,0)</f>
        <v>37456.879999999997</v>
      </c>
      <c r="I59" s="14">
        <f>IFERROR('DATA SHEET'!H68,0)</f>
        <v>36088.589999999997</v>
      </c>
      <c r="J59" s="14">
        <f>IFERROR('DATA SHEET'!I68,0)</f>
        <v>35240.339999999997</v>
      </c>
      <c r="K59" s="14">
        <f>IFERROR('DATA SHEET'!J68,0)</f>
        <v>40755.39</v>
      </c>
      <c r="L59" s="14">
        <f>IFERROR('DATA SHEET'!K68,0)</f>
        <v>47788.29</v>
      </c>
    </row>
    <row r="60" spans="2:12">
      <c r="B60" t="s">
        <v>47</v>
      </c>
      <c r="C60" s="14">
        <f>IFERROR('DATA SHEET'!B69,0)</f>
        <v>32115.759999999998</v>
      </c>
      <c r="D60" s="14">
        <f>IFERROR('DATA SHEET'!C69,0)</f>
        <v>30460.400000000001</v>
      </c>
      <c r="E60" s="14">
        <f>IFERROR('DATA SHEET'!D69,0)</f>
        <v>36077.879999999997</v>
      </c>
      <c r="F60" s="14">
        <f>IFERROR('DATA SHEET'!E69,0)</f>
        <v>34613.910000000003</v>
      </c>
      <c r="G60" s="14">
        <f>IFERROR('DATA SHEET'!F69,0)</f>
        <v>32648.82</v>
      </c>
      <c r="H60" s="14">
        <f>IFERROR('DATA SHEET'!G69,0)</f>
        <v>33726.97</v>
      </c>
      <c r="I60" s="14">
        <f>IFERROR('DATA SHEET'!H69,0)</f>
        <v>46792.46</v>
      </c>
      <c r="J60" s="14">
        <f>IFERROR('DATA SHEET'!I69,0)</f>
        <v>40669.19</v>
      </c>
      <c r="K60" s="14">
        <f>IFERROR('DATA SHEET'!J69,0)</f>
        <v>37015.56</v>
      </c>
      <c r="L60" s="14">
        <f>IFERROR('DATA SHEET'!K69,0)</f>
        <v>45806.69</v>
      </c>
    </row>
    <row r="61" spans="2:12">
      <c r="B61" s="20" t="s">
        <v>85</v>
      </c>
      <c r="C61" s="40">
        <f t="shared" ref="C61:L61" si="29">SUM(C58:C60)</f>
        <v>73967.3</v>
      </c>
      <c r="D61" s="40">
        <f t="shared" si="29"/>
        <v>76687.040000000008</v>
      </c>
      <c r="E61" s="40">
        <f t="shared" si="29"/>
        <v>85238.739999999991</v>
      </c>
      <c r="F61" s="40">
        <f t="shared" si="29"/>
        <v>96644.84</v>
      </c>
      <c r="G61" s="40">
        <f t="shared" si="29"/>
        <v>90658.72</v>
      </c>
      <c r="H61" s="40">
        <f t="shared" si="29"/>
        <v>82356.540000000008</v>
      </c>
      <c r="I61" s="40">
        <f t="shared" si="29"/>
        <v>95560.13</v>
      </c>
      <c r="J61" s="40">
        <f t="shared" si="29"/>
        <v>88351.65</v>
      </c>
      <c r="K61" s="40">
        <f t="shared" si="29"/>
        <v>93508.92</v>
      </c>
      <c r="L61" s="40">
        <f t="shared" si="29"/>
        <v>110546.79000000001</v>
      </c>
    </row>
    <row r="63" spans="2:12" ht="15.75" thickBot="1">
      <c r="B63" s="20" t="s">
        <v>86</v>
      </c>
      <c r="C63" s="41">
        <f>SUM(C56,C61)</f>
        <v>237314.78999999998</v>
      </c>
      <c r="D63" s="41">
        <f>SUM(D56,D61)</f>
        <v>263184.12</v>
      </c>
      <c r="E63" s="41">
        <f>SUM(E56,E61)</f>
        <v>272580.36</v>
      </c>
      <c r="F63" s="41">
        <f>SUM(F56,F61)</f>
        <v>327191.81</v>
      </c>
      <c r="G63" s="41">
        <f t="shared" ref="G63:L63" si="30">SUM(G56,G61)</f>
        <v>305703.49</v>
      </c>
      <c r="H63" s="41">
        <f t="shared" si="30"/>
        <v>320179.39</v>
      </c>
      <c r="I63" s="41">
        <f t="shared" si="30"/>
        <v>341569.91</v>
      </c>
      <c r="J63" s="41">
        <f t="shared" si="30"/>
        <v>329061.49</v>
      </c>
      <c r="K63" s="41">
        <f t="shared" si="30"/>
        <v>334674.43</v>
      </c>
      <c r="L63" s="41">
        <f t="shared" si="30"/>
        <v>369520.61</v>
      </c>
    </row>
    <row r="64" spans="2:12" ht="15.75" thickTop="1"/>
    <row r="65" spans="1:12">
      <c r="B65" s="20" t="s">
        <v>119</v>
      </c>
      <c r="C65" s="20" t="b">
        <f>C63=C50</f>
        <v>1</v>
      </c>
      <c r="D65" s="20" t="b">
        <f t="shared" ref="D65:L65" si="31">D63=D50</f>
        <v>1</v>
      </c>
      <c r="E65" s="20" t="b">
        <f t="shared" si="31"/>
        <v>1</v>
      </c>
      <c r="F65" s="20" t="b">
        <f t="shared" si="31"/>
        <v>1</v>
      </c>
      <c r="G65" s="20" t="b">
        <f t="shared" si="31"/>
        <v>1</v>
      </c>
      <c r="H65" s="20" t="b">
        <f t="shared" si="31"/>
        <v>1</v>
      </c>
      <c r="I65" s="20" t="b">
        <f t="shared" si="31"/>
        <v>1</v>
      </c>
      <c r="J65" s="20" t="b">
        <f t="shared" si="31"/>
        <v>1</v>
      </c>
      <c r="K65" s="20" t="b">
        <f t="shared" si="31"/>
        <v>1</v>
      </c>
      <c r="L65" s="20" t="b">
        <f t="shared" si="31"/>
        <v>1</v>
      </c>
    </row>
    <row r="68" spans="1:12">
      <c r="A68" s="10" t="s">
        <v>57</v>
      </c>
      <c r="B68" s="31" t="s">
        <v>115</v>
      </c>
    </row>
    <row r="69" spans="1:12">
      <c r="B69" s="32" t="s">
        <v>116</v>
      </c>
    </row>
    <row r="70" spans="1:12">
      <c r="B70" t="s">
        <v>88</v>
      </c>
      <c r="C70" s="14">
        <f>IFERROR('CASH FLOW DATA'!E4,0)</f>
        <v>43397</v>
      </c>
      <c r="D70" s="14">
        <f>IFERROR('CASH FLOW DATA'!F4,0)</f>
        <v>38626</v>
      </c>
      <c r="E70" s="14">
        <f>IFERROR('CASH FLOW DATA'!G4,0)</f>
        <v>28840</v>
      </c>
      <c r="F70" s="14">
        <f>IFERROR('CASH FLOW DATA'!H4,0)</f>
        <v>33312</v>
      </c>
      <c r="G70" s="14">
        <f>IFERROR('CASH FLOW DATA'!I4,0)</f>
        <v>28771</v>
      </c>
      <c r="H70" s="14">
        <f>IFERROR('CASH FLOW DATA'!J4,0)</f>
        <v>23352</v>
      </c>
      <c r="I70" s="14">
        <f>IFERROR('CASH FLOW DATA'!K4,0)</f>
        <v>31198</v>
      </c>
      <c r="J70" s="14">
        <f>IFERROR('CASH FLOW DATA'!L4,0)</f>
        <v>26943</v>
      </c>
      <c r="K70" s="14">
        <f>IFERROR('CASH FLOW DATA'!M4,0)</f>
        <v>41694</v>
      </c>
      <c r="L70" s="14">
        <f>IFERROR('CASH FLOW DATA'!N4,0)</f>
        <v>65106</v>
      </c>
    </row>
    <row r="71" spans="1:12">
      <c r="B71" t="s">
        <v>46</v>
      </c>
      <c r="C71" s="14">
        <f>IFERROR('CASH FLOW DATA'!E5,0)</f>
        <v>-3179</v>
      </c>
      <c r="D71" s="14">
        <f>IFERROR('CASH FLOW DATA'!F5,0)</f>
        <v>-2223</v>
      </c>
      <c r="E71" s="14">
        <f>IFERROR('CASH FLOW DATA'!G5,0)</f>
        <v>-4152</v>
      </c>
      <c r="F71" s="14">
        <f>IFERROR('CASH FLOW DATA'!H5,0)</f>
        <v>-10688</v>
      </c>
      <c r="G71" s="14">
        <f>IFERROR('CASH FLOW DATA'!I5,0)</f>
        <v>-9109</v>
      </c>
      <c r="H71" s="14">
        <f>IFERROR('CASH FLOW DATA'!J5,0)</f>
        <v>9950</v>
      </c>
      <c r="I71" s="14">
        <f>IFERROR('CASH FLOW DATA'!K5,0)</f>
        <v>-5505</v>
      </c>
      <c r="J71" s="14">
        <f>IFERROR('CASH FLOW DATA'!L5,0)</f>
        <v>185</v>
      </c>
      <c r="K71" s="14">
        <f>IFERROR('CASH FLOW DATA'!M5,0)</f>
        <v>-2213</v>
      </c>
      <c r="L71" s="14">
        <f>IFERROR('CASH FLOW DATA'!N5,0)</f>
        <v>-1875</v>
      </c>
    </row>
    <row r="72" spans="1:12">
      <c r="B72" t="s">
        <v>19</v>
      </c>
      <c r="C72" s="14">
        <f>IFERROR('CASH FLOW DATA'!E6,0)</f>
        <v>-3692</v>
      </c>
      <c r="D72" s="14">
        <f>IFERROR('CASH FLOW DATA'!F6,0)</f>
        <v>-5743</v>
      </c>
      <c r="E72" s="14">
        <f>IFERROR('CASH FLOW DATA'!G6,0)</f>
        <v>-6621</v>
      </c>
      <c r="F72" s="14">
        <f>IFERROR('CASH FLOW DATA'!H6,0)</f>
        <v>-3560</v>
      </c>
      <c r="G72" s="14">
        <f>IFERROR('CASH FLOW DATA'!I6,0)</f>
        <v>2069</v>
      </c>
      <c r="H72" s="14">
        <f>IFERROR('CASH FLOW DATA'!J6,0)</f>
        <v>2326</v>
      </c>
      <c r="I72" s="14">
        <f>IFERROR('CASH FLOW DATA'!K6,0)</f>
        <v>3814</v>
      </c>
      <c r="J72" s="14">
        <f>IFERROR('CASH FLOW DATA'!L6,0)</f>
        <v>472</v>
      </c>
      <c r="K72" s="14">
        <f>IFERROR('CASH FLOW DATA'!M6,0)</f>
        <v>-5665</v>
      </c>
      <c r="L72" s="14">
        <f>IFERROR('CASH FLOW DATA'!N6,0)</f>
        <v>-7265</v>
      </c>
    </row>
    <row r="73" spans="1:12">
      <c r="B73" t="s">
        <v>89</v>
      </c>
      <c r="C73" s="14">
        <f>IFERROR('CASH FLOW DATA'!E7,0)</f>
        <v>3598</v>
      </c>
      <c r="D73" s="14">
        <f>IFERROR('CASH FLOW DATA'!F7,0)</f>
        <v>3947</v>
      </c>
      <c r="E73" s="14">
        <f>IFERROR('CASH FLOW DATA'!G7,0)</f>
        <v>9301</v>
      </c>
      <c r="F73" s="14">
        <f>IFERROR('CASH FLOW DATA'!H7,0)</f>
        <v>7320</v>
      </c>
      <c r="G73" s="14">
        <f>IFERROR('CASH FLOW DATA'!I7,0)</f>
        <v>-4692</v>
      </c>
      <c r="H73" s="14">
        <f>IFERROR('CASH FLOW DATA'!J7,0)</f>
        <v>-8085</v>
      </c>
      <c r="I73" s="14">
        <f>IFERROR('CASH FLOW DATA'!K7,0)</f>
        <v>5748</v>
      </c>
      <c r="J73" s="14">
        <f>IFERROR('CASH FLOW DATA'!L7,0)</f>
        <v>-7012</v>
      </c>
      <c r="K73" s="14">
        <f>IFERROR('CASH FLOW DATA'!M7,0)</f>
        <v>6945</v>
      </c>
      <c r="L73" s="14">
        <f>IFERROR('CASH FLOW DATA'!N7,0)</f>
        <v>13706</v>
      </c>
    </row>
    <row r="74" spans="1:12">
      <c r="B74" t="s">
        <v>90</v>
      </c>
      <c r="C74" s="36">
        <f>IFERROR('CASH FLOW DATA'!E8,0)</f>
        <v>0</v>
      </c>
      <c r="D74" s="14">
        <f>IFERROR('CASH FLOW DATA'!F8,0)</f>
        <v>-520</v>
      </c>
      <c r="E74" s="36">
        <f>IFERROR('CASH FLOW DATA'!G8,0)</f>
        <v>0</v>
      </c>
      <c r="F74" s="36">
        <f>IFERROR('CASH FLOW DATA'!H8,0)</f>
        <v>0</v>
      </c>
      <c r="G74" s="36">
        <f>IFERROR('CASH FLOW DATA'!I8,0)</f>
        <v>0</v>
      </c>
      <c r="H74" s="36">
        <f>IFERROR('CASH FLOW DATA'!J8,0)</f>
        <v>0</v>
      </c>
      <c r="I74" s="36">
        <f>IFERROR('CASH FLOW DATA'!K8,0)</f>
        <v>0</v>
      </c>
      <c r="J74" s="36">
        <f>IFERROR('CASH FLOW DATA'!L8,0)</f>
        <v>0</v>
      </c>
      <c r="K74" s="36">
        <f>IFERROR('CASH FLOW DATA'!M8,0)</f>
        <v>0</v>
      </c>
      <c r="L74" s="36">
        <f>IFERROR('CASH FLOW DATA'!N8,0)</f>
        <v>0</v>
      </c>
    </row>
    <row r="75" spans="1:12">
      <c r="B75" t="s">
        <v>91</v>
      </c>
      <c r="C75" s="14">
        <f>IFERROR('CASH FLOW DATA'!E9,0)</f>
        <v>-398</v>
      </c>
      <c r="D75" s="14">
        <f>IFERROR('CASH FLOW DATA'!F9,0)</f>
        <v>5852</v>
      </c>
      <c r="E75" s="14">
        <f>IFERROR('CASH FLOW DATA'!G9,0)</f>
        <v>4727</v>
      </c>
      <c r="F75" s="14">
        <f>IFERROR('CASH FLOW DATA'!H9,0)</f>
        <v>494</v>
      </c>
      <c r="G75" s="14">
        <f>IFERROR('CASH FLOW DATA'!I9,0)</f>
        <v>4512</v>
      </c>
      <c r="H75" s="14">
        <f>IFERROR('CASH FLOW DATA'!J9,0)</f>
        <v>875</v>
      </c>
      <c r="I75" s="14">
        <f>IFERROR('CASH FLOW DATA'!K9,0)</f>
        <v>-4150</v>
      </c>
      <c r="J75" s="14">
        <f>IFERROR('CASH FLOW DATA'!L9,0)</f>
        <v>-4396</v>
      </c>
      <c r="K75" s="14">
        <f>IFERROR('CASH FLOW DATA'!M9,0)</f>
        <v>-2194</v>
      </c>
      <c r="L75" s="14">
        <f>IFERROR('CASH FLOW DATA'!N9,0)</f>
        <v>2760</v>
      </c>
    </row>
    <row r="76" spans="1:12">
      <c r="B76" t="s">
        <v>92</v>
      </c>
      <c r="C76" s="14">
        <f>IFERROR('CASH FLOW DATA'!E10,0)</f>
        <v>-3672</v>
      </c>
      <c r="D76" s="14">
        <f>IFERROR('CASH FLOW DATA'!F10,0)</f>
        <v>1313</v>
      </c>
      <c r="E76" s="14">
        <f>IFERROR('CASH FLOW DATA'!G10,0)</f>
        <v>3254</v>
      </c>
      <c r="F76" s="14">
        <f>IFERROR('CASH FLOW DATA'!H10,0)</f>
        <v>-6434</v>
      </c>
      <c r="G76" s="14">
        <f>IFERROR('CASH FLOW DATA'!I10,0)</f>
        <v>-7221</v>
      </c>
      <c r="H76" s="14">
        <f>IFERROR('CASH FLOW DATA'!J10,0)</f>
        <v>5065</v>
      </c>
      <c r="I76" s="14">
        <f>IFERROR('CASH FLOW DATA'!K10,0)</f>
        <v>-93</v>
      </c>
      <c r="J76" s="14">
        <f>IFERROR('CASH FLOW DATA'!L10,0)</f>
        <v>-10750</v>
      </c>
      <c r="K76" s="14">
        <f>IFERROR('CASH FLOW DATA'!M10,0)</f>
        <v>-3127</v>
      </c>
      <c r="L76" s="14">
        <f>IFERROR('CASH FLOW DATA'!N10,0)</f>
        <v>7325</v>
      </c>
    </row>
    <row r="77" spans="1:12">
      <c r="B77" s="10" t="s">
        <v>93</v>
      </c>
      <c r="C77" s="14">
        <f>IFERROR('CASH FLOW DATA'!E11,0)</f>
        <v>-4194</v>
      </c>
      <c r="D77" s="14">
        <f>IFERROR('CASH FLOW DATA'!F11,0)</f>
        <v>-2040</v>
      </c>
      <c r="E77" s="14">
        <f>IFERROR('CASH FLOW DATA'!G11,0)</f>
        <v>-1895</v>
      </c>
      <c r="F77" s="14">
        <f>IFERROR('CASH FLOW DATA'!H11,0)</f>
        <v>-3021</v>
      </c>
      <c r="G77" s="14">
        <f>IFERROR('CASH FLOW DATA'!I11,0)</f>
        <v>-2659</v>
      </c>
      <c r="H77" s="14">
        <f>IFERROR('CASH FLOW DATA'!J11,0)</f>
        <v>-1785</v>
      </c>
      <c r="I77" s="14">
        <f>IFERROR('CASH FLOW DATA'!K11,0)</f>
        <v>-2105</v>
      </c>
      <c r="J77" s="14">
        <f>IFERROR('CASH FLOW DATA'!L11,0)</f>
        <v>-1910</v>
      </c>
      <c r="K77" s="14">
        <f>IFERROR('CASH FLOW DATA'!M11,0)</f>
        <v>-3179</v>
      </c>
      <c r="L77" s="14">
        <f>IFERROR('CASH FLOW DATA'!N11,0)</f>
        <v>-4516</v>
      </c>
    </row>
    <row r="78" spans="1:12">
      <c r="B78" s="29" t="s">
        <v>117</v>
      </c>
      <c r="C78" s="35">
        <f>SUM(C70:C75)+C77</f>
        <v>35532</v>
      </c>
      <c r="D78" s="35">
        <f t="shared" ref="D78:L78" si="32">SUM(D70:D75)+D77</f>
        <v>37899</v>
      </c>
      <c r="E78" s="35">
        <f t="shared" si="32"/>
        <v>30200</v>
      </c>
      <c r="F78" s="35">
        <f t="shared" si="32"/>
        <v>23857</v>
      </c>
      <c r="G78" s="35">
        <f t="shared" si="32"/>
        <v>18892</v>
      </c>
      <c r="H78" s="35">
        <f t="shared" si="32"/>
        <v>26633</v>
      </c>
      <c r="I78" s="35">
        <f t="shared" si="32"/>
        <v>29000</v>
      </c>
      <c r="J78" s="35">
        <f t="shared" si="32"/>
        <v>14282</v>
      </c>
      <c r="K78" s="35">
        <f t="shared" si="32"/>
        <v>35388</v>
      </c>
      <c r="L78" s="35">
        <f t="shared" si="32"/>
        <v>67916</v>
      </c>
    </row>
    <row r="81" spans="2:12">
      <c r="B81" s="32" t="s">
        <v>120</v>
      </c>
    </row>
    <row r="82" spans="2:12">
      <c r="B82" s="25" t="s">
        <v>95</v>
      </c>
      <c r="C82" s="14">
        <f>IFERROR('CASH FLOW DATA'!E13,0)</f>
        <v>-31962</v>
      </c>
      <c r="D82" s="14">
        <f>IFERROR('CASH FLOW DATA'!F13,0)</f>
        <v>-31503</v>
      </c>
      <c r="E82" s="14">
        <f>IFERROR('CASH FLOW DATA'!G13,0)</f>
        <v>-16072</v>
      </c>
      <c r="F82" s="14">
        <f>IFERROR('CASH FLOW DATA'!H13,0)</f>
        <v>-35079</v>
      </c>
      <c r="G82" s="14">
        <f>IFERROR('CASH FLOW DATA'!I13,0)</f>
        <v>-35304</v>
      </c>
      <c r="H82" s="14">
        <f>IFERROR('CASH FLOW DATA'!J13,0)</f>
        <v>-29702</v>
      </c>
      <c r="I82" s="14">
        <f>IFERROR('CASH FLOW DATA'!K13,0)</f>
        <v>-20205</v>
      </c>
      <c r="J82" s="14">
        <f>IFERROR('CASH FLOW DATA'!L13,0)</f>
        <v>-15168</v>
      </c>
      <c r="K82" s="14">
        <f>IFERROR('CASH FLOW DATA'!M13,0)</f>
        <v>-19230</v>
      </c>
      <c r="L82" s="14">
        <f>IFERROR('CASH FLOW DATA'!N13,0)</f>
        <v>-31414</v>
      </c>
    </row>
    <row r="83" spans="2:12">
      <c r="B83" s="25" t="s">
        <v>96</v>
      </c>
      <c r="C83" s="14">
        <f>IFERROR('CASH FLOW DATA'!E14,0)</f>
        <v>74</v>
      </c>
      <c r="D83" s="14">
        <f>IFERROR('CASH FLOW DATA'!F14,0)</f>
        <v>59</v>
      </c>
      <c r="E83" s="14">
        <f>IFERROR('CASH FLOW DATA'!G14,0)</f>
        <v>53</v>
      </c>
      <c r="F83" s="14">
        <f>IFERROR('CASH FLOW DATA'!H14,0)</f>
        <v>30</v>
      </c>
      <c r="G83" s="14">
        <f>IFERROR('CASH FLOW DATA'!I14,0)</f>
        <v>67</v>
      </c>
      <c r="H83" s="14">
        <f>IFERROR('CASH FLOW DATA'!J14,0)</f>
        <v>171</v>
      </c>
      <c r="I83" s="14">
        <f>IFERROR('CASH FLOW DATA'!K14,0)</f>
        <v>351</v>
      </c>
      <c r="J83" s="14">
        <f>IFERROR('CASH FLOW DATA'!L14,0)</f>
        <v>230</v>
      </c>
      <c r="K83" s="14">
        <f>IFERROR('CASH FLOW DATA'!M14,0)</f>
        <v>285</v>
      </c>
      <c r="L83" s="14">
        <f>IFERROR('CASH FLOW DATA'!N14,0)</f>
        <v>231</v>
      </c>
    </row>
    <row r="84" spans="2:12">
      <c r="B84" s="25" t="s">
        <v>97</v>
      </c>
      <c r="C84" s="14">
        <f>IFERROR('CASH FLOW DATA'!E15,0)</f>
        <v>-5461</v>
      </c>
      <c r="D84" s="14">
        <f>IFERROR('CASH FLOW DATA'!F15,0)</f>
        <v>-4728</v>
      </c>
      <c r="E84" s="14">
        <f>IFERROR('CASH FLOW DATA'!G15,0)</f>
        <v>-6</v>
      </c>
      <c r="F84" s="14">
        <f>IFERROR('CASH FLOW DATA'!H15,0)</f>
        <v>-329</v>
      </c>
      <c r="G84" s="14">
        <f>IFERROR('CASH FLOW DATA'!I15,0)</f>
        <v>-130</v>
      </c>
      <c r="H84" s="14">
        <f>IFERROR('CASH FLOW DATA'!J15,0)</f>
        <v>-1439</v>
      </c>
      <c r="I84" s="14">
        <f>IFERROR('CASH FLOW DATA'!K15,0)</f>
        <v>-7530</v>
      </c>
      <c r="J84" s="14">
        <f>IFERROR('CASH FLOW DATA'!L15,0)</f>
        <v>-3008</v>
      </c>
      <c r="K84" s="14">
        <f>IFERROR('CASH FLOW DATA'!M15,0)</f>
        <v>-50</v>
      </c>
      <c r="L84" s="14">
        <f>IFERROR('CASH FLOW DATA'!N15,0)</f>
        <v>-74</v>
      </c>
    </row>
    <row r="85" spans="2:12">
      <c r="B85" s="25" t="s">
        <v>98</v>
      </c>
      <c r="C85" s="14">
        <f>IFERROR('CASH FLOW DATA'!E16,0)</f>
        <v>42</v>
      </c>
      <c r="D85" s="14">
        <f>IFERROR('CASH FLOW DATA'!F16,0)</f>
        <v>89</v>
      </c>
      <c r="E85" s="14">
        <f>IFERROR('CASH FLOW DATA'!G16,0)</f>
        <v>1965</v>
      </c>
      <c r="F85" s="14">
        <f>IFERROR('CASH FLOW DATA'!H16,0)</f>
        <v>2381</v>
      </c>
      <c r="G85" s="14">
        <f>IFERROR('CASH FLOW DATA'!I16,0)</f>
        <v>5644</v>
      </c>
      <c r="H85" s="14">
        <f>IFERROR('CASH FLOW DATA'!J16,0)</f>
        <v>21</v>
      </c>
      <c r="I85" s="14">
        <f>IFERROR('CASH FLOW DATA'!K16,0)</f>
        <v>226</v>
      </c>
      <c r="J85" s="14">
        <f>IFERROR('CASH FLOW DATA'!L16,0)</f>
        <v>104</v>
      </c>
      <c r="K85" s="14">
        <f>IFERROR('CASH FLOW DATA'!M16,0)</f>
        <v>6895</v>
      </c>
      <c r="L85" s="14">
        <f>IFERROR('CASH FLOW DATA'!N16,0)</f>
        <v>10820</v>
      </c>
    </row>
    <row r="86" spans="2:12">
      <c r="B86" s="25" t="s">
        <v>99</v>
      </c>
      <c r="C86" s="14">
        <f>IFERROR('CASH FLOW DATA'!E17,0)</f>
        <v>698</v>
      </c>
      <c r="D86" s="14">
        <f>IFERROR('CASH FLOW DATA'!F17,0)</f>
        <v>731</v>
      </c>
      <c r="E86" s="14">
        <f>IFERROR('CASH FLOW DATA'!G17,0)</f>
        <v>638</v>
      </c>
      <c r="F86" s="14">
        <f>IFERROR('CASH FLOW DATA'!H17,0)</f>
        <v>690</v>
      </c>
      <c r="G86" s="14">
        <f>IFERROR('CASH FLOW DATA'!I17,0)</f>
        <v>761</v>
      </c>
      <c r="H86" s="14">
        <f>IFERROR('CASH FLOW DATA'!J17,0)</f>
        <v>1104</v>
      </c>
      <c r="I86" s="14">
        <f>IFERROR('CASH FLOW DATA'!K17,0)</f>
        <v>428</v>
      </c>
      <c r="J86" s="14">
        <f>IFERROR('CASH FLOW DATA'!L17,0)</f>
        <v>653</v>
      </c>
      <c r="K86" s="14">
        <f>IFERROR('CASH FLOW DATA'!M17,0)</f>
        <v>973</v>
      </c>
      <c r="L86" s="14">
        <f>IFERROR('CASH FLOW DATA'!N17,0)</f>
        <v>2493</v>
      </c>
    </row>
    <row r="87" spans="2:12">
      <c r="B87" s="34" t="s">
        <v>100</v>
      </c>
      <c r="C87" s="14">
        <f>IFERROR('CASH FLOW DATA'!E18,0)</f>
        <v>80</v>
      </c>
      <c r="D87" s="14">
        <f>IFERROR('CASH FLOW DATA'!F18,0)</f>
        <v>58</v>
      </c>
      <c r="E87" s="14">
        <f>IFERROR('CASH FLOW DATA'!G18,0)</f>
        <v>620</v>
      </c>
      <c r="F87" s="14">
        <f>IFERROR('CASH FLOW DATA'!H18,0)</f>
        <v>1797</v>
      </c>
      <c r="G87" s="14">
        <f>IFERROR('CASH FLOW DATA'!I18,0)</f>
        <v>232</v>
      </c>
      <c r="H87" s="14">
        <f>IFERROR('CASH FLOW DATA'!J18,0)</f>
        <v>21</v>
      </c>
      <c r="I87" s="14">
        <f>IFERROR('CASH FLOW DATA'!K18,0)</f>
        <v>18</v>
      </c>
      <c r="J87" s="14">
        <f>IFERROR('CASH FLOW DATA'!L18,0)</f>
        <v>32</v>
      </c>
      <c r="K87" s="14">
        <f>IFERROR('CASH FLOW DATA'!M18,0)</f>
        <v>46</v>
      </c>
      <c r="L87" s="14">
        <f>IFERROR('CASH FLOW DATA'!N18,0)</f>
        <v>47</v>
      </c>
    </row>
    <row r="88" spans="2:12">
      <c r="B88" s="25" t="s">
        <v>101</v>
      </c>
      <c r="C88" s="14">
        <f>IFERROR('CASH FLOW DATA'!E19,0)</f>
        <v>-160</v>
      </c>
      <c r="D88" s="37">
        <f>IFERROR('CASH FLOW DATA'!F19,0)</f>
        <v>0</v>
      </c>
      <c r="E88" s="14">
        <f>IFERROR('CASH FLOW DATA'!G19,0)</f>
        <v>-107</v>
      </c>
      <c r="F88" s="14">
        <f>IFERROR('CASH FLOW DATA'!H19,0)</f>
        <v>-4</v>
      </c>
      <c r="G88" s="14">
        <f>IFERROR('CASH FLOW DATA'!I19,0)</f>
        <v>-9</v>
      </c>
      <c r="H88" s="14">
        <f>IFERROR('CASH FLOW DATA'!J19,0)</f>
        <v>-606</v>
      </c>
      <c r="I88" s="14">
        <f>IFERROR('CASH FLOW DATA'!K19,0)</f>
        <v>-10</v>
      </c>
      <c r="J88" s="14">
        <f>IFERROR('CASH FLOW DATA'!L19,0)</f>
        <v>0</v>
      </c>
      <c r="K88" s="14">
        <f>IFERROR('CASH FLOW DATA'!M19,0)</f>
        <v>0</v>
      </c>
      <c r="L88" s="14">
        <f>IFERROR('CASH FLOW DATA'!N19,0)</f>
        <v>-150</v>
      </c>
    </row>
    <row r="89" spans="2:12">
      <c r="B89" s="25" t="s">
        <v>102</v>
      </c>
      <c r="C89" s="36">
        <f>IFERROR('CASH FLOW DATA'!E20,0)</f>
        <v>0</v>
      </c>
      <c r="D89" s="37">
        <f>IFERROR('CASH FLOW DATA'!F20,0)</f>
        <v>0</v>
      </c>
      <c r="E89" s="36">
        <f>IFERROR('CASH FLOW DATA'!G20,0)</f>
        <v>0</v>
      </c>
      <c r="F89" s="14">
        <f>IFERROR('CASH FLOW DATA'!H20,0)</f>
        <v>14</v>
      </c>
      <c r="G89" s="14">
        <f>IFERROR('CASH FLOW DATA'!I20,0)</f>
        <v>533</v>
      </c>
      <c r="H89" s="36">
        <f>IFERROR('CASH FLOW DATA'!J20,0)</f>
        <v>0</v>
      </c>
      <c r="I89" s="36">
        <f>IFERROR('CASH FLOW DATA'!K20,0)</f>
        <v>0</v>
      </c>
      <c r="J89" s="36">
        <f>IFERROR('CASH FLOW DATA'!L20,0)</f>
        <v>0</v>
      </c>
      <c r="K89" s="14">
        <f>IFERROR('CASH FLOW DATA'!M20,0)</f>
        <v>19</v>
      </c>
      <c r="L89" s="14">
        <f>IFERROR('CASH FLOW DATA'!N20,0)</f>
        <v>108</v>
      </c>
    </row>
    <row r="90" spans="2:12">
      <c r="B90" s="25" t="s">
        <v>103</v>
      </c>
      <c r="C90" s="36">
        <f>IFERROR('CASH FLOW DATA'!E21,0)</f>
        <v>0</v>
      </c>
      <c r="D90" s="14">
        <f>IFERROR('CASH FLOW DATA'!F21,0)</f>
        <v>-111</v>
      </c>
      <c r="E90" s="36">
        <f>IFERROR('CASH FLOW DATA'!G21,0)</f>
        <v>0</v>
      </c>
      <c r="F90" s="36">
        <f>IFERROR('CASH FLOW DATA'!H21,0)</f>
        <v>0</v>
      </c>
      <c r="G90" s="14">
        <f>IFERROR('CASH FLOW DATA'!I21,0)</f>
        <v>-8</v>
      </c>
      <c r="H90" s="14">
        <f>IFERROR('CASH FLOW DATA'!J21,0)</f>
        <v>-27</v>
      </c>
      <c r="I90" s="36">
        <f>IFERROR('CASH FLOW DATA'!K21,0)</f>
        <v>0</v>
      </c>
      <c r="J90" s="14">
        <f>IFERROR('CASH FLOW DATA'!L21,0)</f>
        <v>-98</v>
      </c>
      <c r="K90" s="36">
        <f>IFERROR('CASH FLOW DATA'!M21,0)</f>
        <v>0</v>
      </c>
      <c r="L90" s="36">
        <f>IFERROR('CASH FLOW DATA'!N21,0)</f>
        <v>0</v>
      </c>
    </row>
    <row r="91" spans="2:12">
      <c r="B91" s="25" t="s">
        <v>104</v>
      </c>
      <c r="C91" s="36">
        <f>IFERROR('CASH FLOW DATA'!E22,0)</f>
        <v>0</v>
      </c>
      <c r="D91" s="36">
        <f>IFERROR('CASH FLOW DATA'!F22,0)</f>
        <v>0</v>
      </c>
      <c r="E91" s="36">
        <f>IFERROR('CASH FLOW DATA'!G22,0)</f>
        <v>0</v>
      </c>
      <c r="F91" s="36">
        <f>IFERROR('CASH FLOW DATA'!H22,0)</f>
        <v>0</v>
      </c>
      <c r="G91" s="36">
        <f>IFERROR('CASH FLOW DATA'!I22,0)</f>
        <v>0</v>
      </c>
      <c r="H91" s="36">
        <f>IFERROR('CASH FLOW DATA'!J22,0)</f>
        <v>0</v>
      </c>
      <c r="I91" s="36">
        <f>IFERROR('CASH FLOW DATA'!K22,0)</f>
        <v>0</v>
      </c>
      <c r="J91" s="36">
        <f>IFERROR('CASH FLOW DATA'!L22,0)</f>
        <v>0</v>
      </c>
      <c r="K91" s="36">
        <f>IFERROR('CASH FLOW DATA'!M22,0)</f>
        <v>0</v>
      </c>
      <c r="L91" s="14">
        <f>IFERROR('CASH FLOW DATA'!N22,0)</f>
        <v>-24</v>
      </c>
    </row>
    <row r="92" spans="2:12">
      <c r="B92" s="25" t="s">
        <v>105</v>
      </c>
      <c r="C92" s="14">
        <f>IFERROR('CASH FLOW DATA'!E23,0)</f>
        <v>456</v>
      </c>
      <c r="D92" s="14">
        <f>IFERROR('CASH FLOW DATA'!F23,0)</f>
        <v>-1289</v>
      </c>
      <c r="E92" s="14">
        <f>IFERROR('CASH FLOW DATA'!G23,0)</f>
        <v>-26663</v>
      </c>
      <c r="F92" s="14">
        <f>IFERROR('CASH FLOW DATA'!H23,0)</f>
        <v>5360</v>
      </c>
      <c r="G92" s="14">
        <f>IFERROR('CASH FLOW DATA'!I23,0)</f>
        <v>7335</v>
      </c>
      <c r="H92" s="14">
        <f>IFERROR('CASH FLOW DATA'!J23,0)</f>
        <v>-2659</v>
      </c>
      <c r="I92" s="14">
        <f>IFERROR('CASH FLOW DATA'!K23,0)</f>
        <v>1051</v>
      </c>
      <c r="J92" s="14">
        <f>IFERROR('CASH FLOW DATA'!L23,0)</f>
        <v>12813</v>
      </c>
      <c r="K92" s="14">
        <f>IFERROR('CASH FLOW DATA'!M23,0)</f>
        <v>-4357</v>
      </c>
      <c r="L92" s="14">
        <f>IFERROR('CASH FLOW DATA'!N23,0)</f>
        <v>-4817</v>
      </c>
    </row>
    <row r="93" spans="2:12">
      <c r="B93" s="29" t="s">
        <v>121</v>
      </c>
      <c r="C93" s="35">
        <f>SUM(C82:C92)</f>
        <v>-36233</v>
      </c>
      <c r="D93" s="35">
        <f t="shared" ref="D93:L93" si="33">SUM(D82:D92)</f>
        <v>-36694</v>
      </c>
      <c r="E93" s="35">
        <f t="shared" si="33"/>
        <v>-39572</v>
      </c>
      <c r="F93" s="35">
        <f t="shared" si="33"/>
        <v>-25140</v>
      </c>
      <c r="G93" s="35">
        <f t="shared" si="33"/>
        <v>-20879</v>
      </c>
      <c r="H93" s="35">
        <f t="shared" si="33"/>
        <v>-33116</v>
      </c>
      <c r="I93" s="35">
        <f t="shared" si="33"/>
        <v>-25671</v>
      </c>
      <c r="J93" s="35">
        <f t="shared" si="33"/>
        <v>-4442</v>
      </c>
      <c r="K93" s="35">
        <f t="shared" si="33"/>
        <v>-15419</v>
      </c>
      <c r="L93" s="35">
        <f t="shared" si="33"/>
        <v>-22780</v>
      </c>
    </row>
    <row r="96" spans="2:12">
      <c r="B96" s="10" t="s">
        <v>122</v>
      </c>
    </row>
    <row r="97" spans="2:12">
      <c r="B97" s="25" t="s">
        <v>107</v>
      </c>
      <c r="C97" s="36">
        <f>IFERROR('CASH FLOW DATA'!E25,0)</f>
        <v>0</v>
      </c>
      <c r="D97" s="14">
        <f>IFERROR('CASH FLOW DATA'!F25,0)</f>
        <v>7433</v>
      </c>
      <c r="E97" s="14">
        <f>IFERROR('CASH FLOW DATA'!G25,0)</f>
        <v>5</v>
      </c>
      <c r="F97" s="36">
        <f>IFERROR('CASH FLOW DATA'!H25,0)</f>
        <v>0</v>
      </c>
      <c r="G97" s="36">
        <f>IFERROR('CASH FLOW DATA'!I25,0)</f>
        <v>0</v>
      </c>
      <c r="H97" s="14">
        <f>IFERROR('CASH FLOW DATA'!J25,0)</f>
        <v>3889</v>
      </c>
      <c r="I97" s="14">
        <f>IFERROR('CASH FLOW DATA'!K25,0)</f>
        <v>2603</v>
      </c>
      <c r="J97" s="14">
        <f>IFERROR('CASH FLOW DATA'!L25,0)</f>
        <v>19</v>
      </c>
      <c r="K97" s="14">
        <f>IFERROR('CASH FLOW DATA'!M25,0)</f>
        <v>20</v>
      </c>
      <c r="L97" s="14">
        <f>IFERROR('CASH FLOW DATA'!N25,0)</f>
        <v>82</v>
      </c>
    </row>
    <row r="98" spans="2:12">
      <c r="B98" s="25" t="s">
        <v>108</v>
      </c>
      <c r="C98" s="14">
        <f>IFERROR('CASH FLOW DATA'!E26,0)</f>
        <v>-744</v>
      </c>
      <c r="D98" s="36">
        <f>IFERROR('CASH FLOW DATA'!F26,0)</f>
        <v>0</v>
      </c>
      <c r="E98" s="36">
        <f>IFERROR('CASH FLOW DATA'!G26,0)</f>
        <v>0</v>
      </c>
      <c r="F98" s="36">
        <f>IFERROR('CASH FLOW DATA'!H26,0)</f>
        <v>0</v>
      </c>
      <c r="G98" s="36">
        <f>IFERROR('CASH FLOW DATA'!I26,0)</f>
        <v>0</v>
      </c>
      <c r="H98" s="36">
        <f>IFERROR('CASH FLOW DATA'!J26,0)</f>
        <v>0</v>
      </c>
      <c r="I98" s="36">
        <f>IFERROR('CASH FLOW DATA'!K26,0)</f>
        <v>0</v>
      </c>
      <c r="J98" s="36">
        <f>IFERROR('CASH FLOW DATA'!L26,0)</f>
        <v>0</v>
      </c>
      <c r="K98" s="36">
        <f>IFERROR('CASH FLOW DATA'!M26,0)</f>
        <v>0</v>
      </c>
      <c r="L98" s="36">
        <f>IFERROR('CASH FLOW DATA'!N26,0)</f>
        <v>0</v>
      </c>
    </row>
    <row r="99" spans="2:12">
      <c r="B99" s="25" t="s">
        <v>109</v>
      </c>
      <c r="C99" s="14">
        <f>IFERROR('CASH FLOW DATA'!E27,0)</f>
        <v>36363</v>
      </c>
      <c r="D99" s="14">
        <f>IFERROR('CASH FLOW DATA'!F27,0)</f>
        <v>19519</v>
      </c>
      <c r="E99" s="14">
        <f>IFERROR('CASH FLOW DATA'!G27,0)</f>
        <v>33390</v>
      </c>
      <c r="F99" s="14">
        <f>IFERROR('CASH FLOW DATA'!H27,0)</f>
        <v>37482</v>
      </c>
      <c r="G99" s="14">
        <f>IFERROR('CASH FLOW DATA'!I27,0)</f>
        <v>51128</v>
      </c>
      <c r="H99" s="14">
        <f>IFERROR('CASH FLOW DATA'!J27,0)</f>
        <v>38297</v>
      </c>
      <c r="I99" s="14">
        <f>IFERROR('CASH FLOW DATA'!K27,0)</f>
        <v>46641</v>
      </c>
      <c r="J99" s="14">
        <f>IFERROR('CASH FLOW DATA'!L27,0)</f>
        <v>46578</v>
      </c>
      <c r="K99" s="14">
        <f>IFERROR('CASH FLOW DATA'!M27,0)</f>
        <v>43934</v>
      </c>
      <c r="L99" s="14">
        <f>IFERROR('CASH FLOW DATA'!N27,0)</f>
        <v>18747</v>
      </c>
    </row>
    <row r="100" spans="2:12">
      <c r="B100" s="25" t="s">
        <v>110</v>
      </c>
      <c r="C100" s="14">
        <f>IFERROR('CASH FLOW DATA'!E28,0)</f>
        <v>-23332</v>
      </c>
      <c r="D100" s="14">
        <f>IFERROR('CASH FLOW DATA'!F28,0)</f>
        <v>-24924</v>
      </c>
      <c r="E100" s="14">
        <f>IFERROR('CASH FLOW DATA'!G28,0)</f>
        <v>-21732</v>
      </c>
      <c r="F100" s="14">
        <f>IFERROR('CASH FLOW DATA'!H28,0)</f>
        <v>-29964</v>
      </c>
      <c r="G100" s="14">
        <f>IFERROR('CASH FLOW DATA'!I28,0)</f>
        <v>-35198</v>
      </c>
      <c r="H100" s="14">
        <f>IFERROR('CASH FLOW DATA'!J28,0)</f>
        <v>-29847</v>
      </c>
      <c r="I100" s="14">
        <f>IFERROR('CASH FLOW DATA'!K28,0)</f>
        <v>-29709</v>
      </c>
      <c r="J100" s="14">
        <f>IFERROR('CASH FLOW DATA'!L28,0)</f>
        <v>-42816</v>
      </c>
      <c r="K100" s="14">
        <f>IFERROR('CASH FLOW DATA'!M28,0)</f>
        <v>-62557</v>
      </c>
      <c r="L100" s="14">
        <f>IFERROR('CASH FLOW DATA'!N28,0)</f>
        <v>-47332</v>
      </c>
    </row>
    <row r="101" spans="2:12">
      <c r="B101" s="25" t="s">
        <v>111</v>
      </c>
      <c r="C101" s="14">
        <f>IFERROR('CASH FLOW DATA'!E29,0)</f>
        <v>-6307</v>
      </c>
      <c r="D101" s="14">
        <f>IFERROR('CASH FLOW DATA'!F29,0)</f>
        <v>-5716</v>
      </c>
      <c r="E101" s="14">
        <f>IFERROR('CASH FLOW DATA'!G29,0)</f>
        <v>-5336</v>
      </c>
      <c r="F101" s="14">
        <f>IFERROR('CASH FLOW DATA'!H29,0)</f>
        <v>-5411</v>
      </c>
      <c r="G101" s="14">
        <f>IFERROR('CASH FLOW DATA'!I29,0)</f>
        <v>-7005</v>
      </c>
      <c r="H101" s="14">
        <f>IFERROR('CASH FLOW DATA'!J29,0)</f>
        <v>-7518</v>
      </c>
      <c r="I101" s="14">
        <f>IFERROR('CASH FLOW DATA'!K29,0)</f>
        <v>-8123</v>
      </c>
      <c r="J101" s="14">
        <f>IFERROR('CASH FLOW DATA'!L29,0)</f>
        <v>-9251</v>
      </c>
      <c r="K101" s="14">
        <f>IFERROR('CASH FLOW DATA'!M29,0)</f>
        <v>-9336</v>
      </c>
      <c r="L101" s="14">
        <f>IFERROR('CASH FLOW DATA'!N29,0)</f>
        <v>-9332</v>
      </c>
    </row>
    <row r="102" spans="2:12">
      <c r="B102" s="25" t="s">
        <v>112</v>
      </c>
      <c r="C102" s="14">
        <f>IFERROR('CASH FLOW DATA'!E30,0)</f>
        <v>-720</v>
      </c>
      <c r="D102" s="14">
        <f>IFERROR('CASH FLOW DATA'!F30,0)</f>
        <v>-108</v>
      </c>
      <c r="E102" s="14">
        <f>IFERROR('CASH FLOW DATA'!G30,0)</f>
        <v>-121</v>
      </c>
      <c r="F102" s="14">
        <f>IFERROR('CASH FLOW DATA'!H30,0)</f>
        <v>-96</v>
      </c>
      <c r="G102" s="14">
        <f>IFERROR('CASH FLOW DATA'!I30,0)</f>
        <v>-95</v>
      </c>
      <c r="H102" s="14">
        <f>IFERROR('CASH FLOW DATA'!J30,0)</f>
        <v>-57</v>
      </c>
      <c r="I102" s="14">
        <f>IFERROR('CASH FLOW DATA'!K30,0)</f>
        <v>-30</v>
      </c>
      <c r="J102" s="14">
        <f>IFERROR('CASH FLOW DATA'!L30,0)</f>
        <v>-100</v>
      </c>
      <c r="K102" s="14">
        <f>IFERROR('CASH FLOW DATA'!M30,0)</f>
        <v>-141</v>
      </c>
      <c r="L102" s="14">
        <f>IFERROR('CASH FLOW DATA'!N30,0)</f>
        <v>-1059</v>
      </c>
    </row>
    <row r="103" spans="2:12">
      <c r="B103" s="25" t="s">
        <v>113</v>
      </c>
      <c r="C103" s="36">
        <f>IFERROR('CASH FLOW DATA'!E31,0)</f>
        <v>0</v>
      </c>
      <c r="D103" s="36">
        <f>IFERROR('CASH FLOW DATA'!F31,0)</f>
        <v>0</v>
      </c>
      <c r="E103" s="36">
        <f>IFERROR('CASH FLOW DATA'!G31,0)</f>
        <v>0</v>
      </c>
      <c r="F103" s="36">
        <f>IFERROR('CASH FLOW DATA'!H31,0)</f>
        <v>0</v>
      </c>
      <c r="G103" s="36">
        <f>IFERROR('CASH FLOW DATA'!I31,0)</f>
        <v>0</v>
      </c>
      <c r="H103" s="14">
        <f>IFERROR('CASH FLOW DATA'!J31,0)</f>
        <v>-1346</v>
      </c>
      <c r="I103" s="14">
        <f>IFERROR('CASH FLOW DATA'!K31,0)</f>
        <v>-1477</v>
      </c>
      <c r="J103" s="14">
        <f>IFERROR('CASH FLOW DATA'!L31,0)</f>
        <v>-1559</v>
      </c>
      <c r="K103" s="14">
        <f>IFERROR('CASH FLOW DATA'!M31,0)</f>
        <v>-1517</v>
      </c>
      <c r="L103" s="14">
        <f>IFERROR('CASH FLOW DATA'!N31,0)</f>
        <v>-1924</v>
      </c>
    </row>
    <row r="104" spans="2:12">
      <c r="B104" s="25" t="s">
        <v>114</v>
      </c>
      <c r="C104" s="14">
        <f>IFERROR('CASH FLOW DATA'!E32,0)</f>
        <v>-57</v>
      </c>
      <c r="D104" s="36">
        <f>IFERROR('CASH FLOW DATA'!F32,0)</f>
        <v>0</v>
      </c>
      <c r="E104" s="36">
        <f>IFERROR('CASH FLOW DATA'!G32,0)</f>
        <v>0</v>
      </c>
      <c r="F104" s="36">
        <f>IFERROR('CASH FLOW DATA'!H32,0)</f>
        <v>0</v>
      </c>
      <c r="G104" s="36">
        <f>IFERROR('CASH FLOW DATA'!I32,0)</f>
        <v>0</v>
      </c>
      <c r="H104" s="14">
        <f>IFERROR('CASH FLOW DATA'!J32,0)</f>
        <v>-29</v>
      </c>
      <c r="I104" s="36">
        <f>IFERROR('CASH FLOW DATA'!K32,0)</f>
        <v>0</v>
      </c>
      <c r="J104" s="14">
        <f>IFERROR('CASH FLOW DATA'!L32,0)</f>
        <v>3750</v>
      </c>
      <c r="K104" s="14">
        <f>IFERROR('CASH FLOW DATA'!M32,0)</f>
        <v>3355</v>
      </c>
      <c r="L104" s="14">
        <f>IFERROR('CASH FLOW DATA'!N32,0)</f>
        <v>3812</v>
      </c>
    </row>
    <row r="105" spans="2:12">
      <c r="B105" s="29" t="s">
        <v>123</v>
      </c>
      <c r="C105" s="35">
        <f>SUM(C97:C104)</f>
        <v>5203</v>
      </c>
      <c r="D105" s="35">
        <f t="shared" ref="D105:L105" si="34">SUM(D97:D104)</f>
        <v>-3796</v>
      </c>
      <c r="E105" s="35">
        <f t="shared" si="34"/>
        <v>6206</v>
      </c>
      <c r="F105" s="35">
        <f t="shared" si="34"/>
        <v>2011</v>
      </c>
      <c r="G105" s="35">
        <f t="shared" si="34"/>
        <v>8830</v>
      </c>
      <c r="H105" s="35">
        <f t="shared" si="34"/>
        <v>3389</v>
      </c>
      <c r="I105" s="35">
        <f t="shared" si="34"/>
        <v>9905</v>
      </c>
      <c r="J105" s="35">
        <f t="shared" si="34"/>
        <v>-3379</v>
      </c>
      <c r="K105" s="35">
        <f t="shared" si="34"/>
        <v>-26242</v>
      </c>
      <c r="L105" s="35">
        <f t="shared" si="34"/>
        <v>-37006</v>
      </c>
    </row>
    <row r="107" spans="2:12">
      <c r="B107" s="42" t="s">
        <v>139</v>
      </c>
      <c r="C107" s="14">
        <f>SUM(C78,C93,C105)</f>
        <v>4502</v>
      </c>
      <c r="D107" s="14">
        <f t="shared" ref="D107:L107" si="35">SUM(D78,D93,D105)</f>
        <v>-2591</v>
      </c>
      <c r="E107" s="14">
        <f t="shared" si="35"/>
        <v>-3166</v>
      </c>
      <c r="F107" s="14">
        <f t="shared" si="35"/>
        <v>728</v>
      </c>
      <c r="G107" s="14">
        <f t="shared" si="35"/>
        <v>6843</v>
      </c>
      <c r="H107" s="14">
        <f t="shared" si="35"/>
        <v>-3094</v>
      </c>
      <c r="I107" s="14">
        <f t="shared" si="35"/>
        <v>13234</v>
      </c>
      <c r="J107" s="14">
        <f t="shared" si="35"/>
        <v>6461</v>
      </c>
      <c r="K107" s="14">
        <f t="shared" si="35"/>
        <v>-6273</v>
      </c>
      <c r="L107" s="14">
        <f t="shared" si="35"/>
        <v>8130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CCE9-30AD-4CC2-A31B-40E100BD91BC}">
  <sheetPr>
    <tabColor rgb="FF0000CC"/>
  </sheetPr>
  <dimension ref="B2:N33"/>
  <sheetViews>
    <sheetView topLeftCell="K1" workbookViewId="0">
      <selection activeCell="B22" sqref="B22"/>
    </sheetView>
  </sheetViews>
  <sheetFormatPr defaultRowHeight="15"/>
  <cols>
    <col min="1" max="1" width="15.28515625" customWidth="1"/>
    <col min="2" max="2" width="52.5703125" customWidth="1"/>
    <col min="3" max="3" width="6.7109375" customWidth="1"/>
    <col min="4" max="4" width="6" customWidth="1"/>
    <col min="5" max="5" width="14.85546875" customWidth="1"/>
    <col min="6" max="7" width="14.28515625" customWidth="1"/>
    <col min="8" max="12" width="10.5703125" bestFit="1" customWidth="1"/>
  </cols>
  <sheetData>
    <row r="2" spans="2:14">
      <c r="C2" s="21">
        <v>41334</v>
      </c>
      <c r="D2" s="21">
        <v>41699</v>
      </c>
      <c r="E2" s="21">
        <v>42064</v>
      </c>
      <c r="F2" s="21">
        <v>42430</v>
      </c>
      <c r="G2" s="21">
        <v>42795</v>
      </c>
      <c r="H2" s="21">
        <v>43160</v>
      </c>
      <c r="I2" s="21">
        <v>43525</v>
      </c>
      <c r="J2" s="21">
        <v>43891</v>
      </c>
      <c r="K2" s="21">
        <v>44256</v>
      </c>
      <c r="L2" s="21">
        <v>44621</v>
      </c>
      <c r="M2" s="21">
        <v>44986</v>
      </c>
      <c r="N2" s="21">
        <v>45352</v>
      </c>
    </row>
    <row r="3" spans="2:14">
      <c r="B3" s="22" t="s">
        <v>87</v>
      </c>
      <c r="C3" s="23">
        <v>22163</v>
      </c>
      <c r="D3" s="23">
        <v>36151</v>
      </c>
      <c r="E3" s="23">
        <v>35531</v>
      </c>
      <c r="F3" s="23">
        <v>37900</v>
      </c>
      <c r="G3" s="23">
        <v>30199</v>
      </c>
      <c r="H3" s="23">
        <v>23857</v>
      </c>
      <c r="I3" s="23">
        <v>18891</v>
      </c>
      <c r="J3" s="23">
        <v>26633</v>
      </c>
      <c r="K3" s="23">
        <v>29001</v>
      </c>
      <c r="L3" s="23">
        <v>14283</v>
      </c>
      <c r="M3" s="23">
        <v>35388</v>
      </c>
      <c r="N3" s="23">
        <v>67915</v>
      </c>
    </row>
    <row r="4" spans="2:14">
      <c r="B4" s="24" t="s">
        <v>88</v>
      </c>
      <c r="C4" s="23">
        <v>24406</v>
      </c>
      <c r="D4" s="23">
        <v>36303</v>
      </c>
      <c r="E4" s="23">
        <v>43397</v>
      </c>
      <c r="F4" s="23">
        <v>38626</v>
      </c>
      <c r="G4" s="23">
        <v>28840</v>
      </c>
      <c r="H4" s="23">
        <v>33312</v>
      </c>
      <c r="I4" s="23">
        <v>28771</v>
      </c>
      <c r="J4" s="23">
        <v>23352</v>
      </c>
      <c r="K4" s="23">
        <v>31198</v>
      </c>
      <c r="L4" s="23">
        <v>26943</v>
      </c>
      <c r="M4" s="23">
        <v>41694</v>
      </c>
      <c r="N4" s="23">
        <v>65106</v>
      </c>
    </row>
    <row r="5" spans="2:14">
      <c r="B5" s="25" t="s">
        <v>46</v>
      </c>
      <c r="C5" s="26">
        <v>-5177</v>
      </c>
      <c r="D5" s="27">
        <v>445</v>
      </c>
      <c r="E5" s="26">
        <v>-3179</v>
      </c>
      <c r="F5" s="26">
        <v>-2223</v>
      </c>
      <c r="G5" s="26">
        <v>-4152</v>
      </c>
      <c r="H5" s="26">
        <v>-10688</v>
      </c>
      <c r="I5" s="26">
        <v>-9109</v>
      </c>
      <c r="J5" s="26">
        <v>9950</v>
      </c>
      <c r="K5" s="26">
        <v>-5505</v>
      </c>
      <c r="L5" s="27">
        <v>185</v>
      </c>
      <c r="M5" s="26">
        <v>-2213</v>
      </c>
      <c r="N5" s="26">
        <v>-1875</v>
      </c>
    </row>
    <row r="6" spans="2:14">
      <c r="B6" s="25" t="s">
        <v>19</v>
      </c>
      <c r="C6" s="26">
        <v>-2656</v>
      </c>
      <c r="D6" s="26">
        <v>-2853</v>
      </c>
      <c r="E6" s="26">
        <v>-3692</v>
      </c>
      <c r="F6" s="26">
        <v>-5743</v>
      </c>
      <c r="G6" s="26">
        <v>-6621</v>
      </c>
      <c r="H6" s="26">
        <v>-3560</v>
      </c>
      <c r="I6" s="26">
        <v>2069</v>
      </c>
      <c r="J6" s="26">
        <v>2326</v>
      </c>
      <c r="K6" s="26">
        <v>3814</v>
      </c>
      <c r="L6" s="27">
        <v>472</v>
      </c>
      <c r="M6" s="26">
        <v>-5665</v>
      </c>
      <c r="N6" s="26">
        <v>-7265</v>
      </c>
    </row>
    <row r="7" spans="2:14">
      <c r="B7" s="25" t="s">
        <v>89</v>
      </c>
      <c r="C7" s="26">
        <v>8132</v>
      </c>
      <c r="D7" s="26">
        <v>4694</v>
      </c>
      <c r="E7" s="26">
        <v>3598</v>
      </c>
      <c r="F7" s="26">
        <v>3947</v>
      </c>
      <c r="G7" s="26">
        <v>9301</v>
      </c>
      <c r="H7" s="26">
        <v>7320</v>
      </c>
      <c r="I7" s="26">
        <v>-4692</v>
      </c>
      <c r="J7" s="26">
        <v>-8085</v>
      </c>
      <c r="K7" s="26">
        <v>5748</v>
      </c>
      <c r="L7" s="26">
        <v>-7012</v>
      </c>
      <c r="M7" s="26">
        <v>6945</v>
      </c>
      <c r="N7" s="26">
        <v>13706</v>
      </c>
    </row>
    <row r="8" spans="2:14">
      <c r="B8" s="25" t="s">
        <v>90</v>
      </c>
      <c r="C8" s="27">
        <v>0</v>
      </c>
      <c r="D8" s="27">
        <v>0</v>
      </c>
      <c r="E8" s="27">
        <v>0</v>
      </c>
      <c r="F8" s="27">
        <v>-520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</row>
    <row r="9" spans="2:14">
      <c r="B9" s="25" t="s">
        <v>91</v>
      </c>
      <c r="C9" s="27">
        <v>-303</v>
      </c>
      <c r="D9" s="26">
        <v>1870</v>
      </c>
      <c r="E9" s="27">
        <v>-398</v>
      </c>
      <c r="F9" s="26">
        <v>5852</v>
      </c>
      <c r="G9" s="26">
        <v>4727</v>
      </c>
      <c r="H9" s="27">
        <v>494</v>
      </c>
      <c r="I9" s="26">
        <v>4512</v>
      </c>
      <c r="J9" s="27">
        <v>875</v>
      </c>
      <c r="K9" s="26">
        <v>-4150</v>
      </c>
      <c r="L9" s="26">
        <v>-4396</v>
      </c>
      <c r="M9" s="26">
        <v>-2194</v>
      </c>
      <c r="N9" s="26">
        <v>2760</v>
      </c>
    </row>
    <row r="10" spans="2:14">
      <c r="B10" s="24" t="s">
        <v>92</v>
      </c>
      <c r="C10" s="28">
        <v>-3</v>
      </c>
      <c r="D10" s="23">
        <v>4157</v>
      </c>
      <c r="E10" s="23">
        <v>-3672</v>
      </c>
      <c r="F10" s="23">
        <v>1313</v>
      </c>
      <c r="G10" s="23">
        <v>3254</v>
      </c>
      <c r="H10" s="23">
        <v>-6434</v>
      </c>
      <c r="I10" s="23">
        <v>-7221</v>
      </c>
      <c r="J10" s="23">
        <v>5065</v>
      </c>
      <c r="K10" s="28">
        <v>-93</v>
      </c>
      <c r="L10" s="23">
        <v>-10750</v>
      </c>
      <c r="M10" s="23">
        <v>-3127</v>
      </c>
      <c r="N10" s="23">
        <v>7325</v>
      </c>
    </row>
    <row r="11" spans="2:14">
      <c r="B11" s="25" t="s">
        <v>93</v>
      </c>
      <c r="C11" s="26">
        <v>-2240</v>
      </c>
      <c r="D11" s="26">
        <v>-4308</v>
      </c>
      <c r="E11" s="26">
        <v>-4194</v>
      </c>
      <c r="F11" s="26">
        <v>-2040</v>
      </c>
      <c r="G11" s="26">
        <v>-1895</v>
      </c>
      <c r="H11" s="26">
        <v>-3021</v>
      </c>
      <c r="I11" s="26">
        <v>-2659</v>
      </c>
      <c r="J11" s="26">
        <v>-1785</v>
      </c>
      <c r="K11" s="26">
        <v>-2105</v>
      </c>
      <c r="L11" s="26">
        <v>-1910</v>
      </c>
      <c r="M11" s="26">
        <v>-3179</v>
      </c>
      <c r="N11" s="26">
        <v>-4516</v>
      </c>
    </row>
    <row r="12" spans="2:14">
      <c r="B12" s="22" t="s">
        <v>94</v>
      </c>
      <c r="C12" s="23">
        <v>-22969</v>
      </c>
      <c r="D12" s="23">
        <v>-27991</v>
      </c>
      <c r="E12" s="23">
        <v>-36232</v>
      </c>
      <c r="F12" s="23">
        <v>-36694</v>
      </c>
      <c r="G12" s="23">
        <v>-39571</v>
      </c>
      <c r="H12" s="23">
        <v>-25139</v>
      </c>
      <c r="I12" s="23">
        <v>-20878</v>
      </c>
      <c r="J12" s="23">
        <v>-33115</v>
      </c>
      <c r="K12" s="23">
        <v>-25672</v>
      </c>
      <c r="L12" s="23">
        <v>-4444</v>
      </c>
      <c r="M12" s="23">
        <v>-15417</v>
      </c>
      <c r="N12" s="23">
        <v>-22782</v>
      </c>
    </row>
    <row r="13" spans="2:14">
      <c r="B13" s="25" t="s">
        <v>95</v>
      </c>
      <c r="C13" s="26">
        <v>-18863</v>
      </c>
      <c r="D13" s="26">
        <v>-26975</v>
      </c>
      <c r="E13" s="26">
        <v>-31962</v>
      </c>
      <c r="F13" s="26">
        <v>-31503</v>
      </c>
      <c r="G13" s="26">
        <v>-16072</v>
      </c>
      <c r="H13" s="26">
        <v>-35079</v>
      </c>
      <c r="I13" s="26">
        <v>-35304</v>
      </c>
      <c r="J13" s="26">
        <v>-29702</v>
      </c>
      <c r="K13" s="26">
        <v>-20205</v>
      </c>
      <c r="L13" s="26">
        <v>-15168</v>
      </c>
      <c r="M13" s="26">
        <v>-19230</v>
      </c>
      <c r="N13" s="26">
        <v>-31414</v>
      </c>
    </row>
    <row r="14" spans="2:14">
      <c r="B14" s="25" t="s">
        <v>96</v>
      </c>
      <c r="C14" s="27">
        <v>37</v>
      </c>
      <c r="D14" s="27">
        <v>50</v>
      </c>
      <c r="E14" s="27">
        <v>74</v>
      </c>
      <c r="F14" s="27">
        <v>59</v>
      </c>
      <c r="G14" s="27">
        <v>53</v>
      </c>
      <c r="H14" s="27">
        <v>30</v>
      </c>
      <c r="I14" s="27">
        <v>67</v>
      </c>
      <c r="J14" s="27">
        <v>171</v>
      </c>
      <c r="K14" s="27">
        <v>351</v>
      </c>
      <c r="L14" s="27">
        <v>230</v>
      </c>
      <c r="M14" s="27">
        <v>285</v>
      </c>
      <c r="N14" s="27">
        <v>231</v>
      </c>
    </row>
    <row r="15" spans="2:14">
      <c r="B15" s="25" t="s">
        <v>97</v>
      </c>
      <c r="C15" s="27">
        <v>73</v>
      </c>
      <c r="D15" s="27">
        <v>-429</v>
      </c>
      <c r="E15" s="26">
        <v>-5461</v>
      </c>
      <c r="F15" s="26">
        <v>-4728</v>
      </c>
      <c r="G15" s="27">
        <v>-6</v>
      </c>
      <c r="H15" s="27">
        <v>-329</v>
      </c>
      <c r="I15" s="27">
        <v>-130</v>
      </c>
      <c r="J15" s="26">
        <v>-1439</v>
      </c>
      <c r="K15" s="26">
        <v>-7530</v>
      </c>
      <c r="L15" s="26">
        <v>-3008</v>
      </c>
      <c r="M15" s="27">
        <v>-50</v>
      </c>
      <c r="N15" s="27">
        <v>-74</v>
      </c>
    </row>
    <row r="16" spans="2:14">
      <c r="B16" s="25" t="s">
        <v>98</v>
      </c>
      <c r="C16" s="27">
        <v>34</v>
      </c>
      <c r="D16" s="27">
        <v>4</v>
      </c>
      <c r="E16" s="27">
        <v>42</v>
      </c>
      <c r="F16" s="27">
        <v>89</v>
      </c>
      <c r="G16" s="26">
        <v>1965</v>
      </c>
      <c r="H16" s="26">
        <v>2381</v>
      </c>
      <c r="I16" s="26">
        <v>5644</v>
      </c>
      <c r="J16" s="27">
        <v>21</v>
      </c>
      <c r="K16" s="27">
        <v>226</v>
      </c>
      <c r="L16" s="27">
        <v>104</v>
      </c>
      <c r="M16" s="26">
        <v>6895</v>
      </c>
      <c r="N16" s="26">
        <v>10820</v>
      </c>
    </row>
    <row r="17" spans="2:14">
      <c r="B17" s="25" t="s">
        <v>99</v>
      </c>
      <c r="C17" s="27">
        <v>713</v>
      </c>
      <c r="D17" s="27">
        <v>653</v>
      </c>
      <c r="E17" s="27">
        <v>698</v>
      </c>
      <c r="F17" s="27">
        <v>731</v>
      </c>
      <c r="G17" s="27">
        <v>638</v>
      </c>
      <c r="H17" s="27">
        <v>690</v>
      </c>
      <c r="I17" s="27">
        <v>761</v>
      </c>
      <c r="J17" s="26">
        <v>1104</v>
      </c>
      <c r="K17" s="27">
        <v>428</v>
      </c>
      <c r="L17" s="27">
        <v>653</v>
      </c>
      <c r="M17" s="27">
        <v>973</v>
      </c>
      <c r="N17" s="26">
        <v>2493</v>
      </c>
    </row>
    <row r="18" spans="2:14">
      <c r="B18" s="25" t="s">
        <v>100</v>
      </c>
      <c r="C18" s="27">
        <v>95</v>
      </c>
      <c r="D18" s="27">
        <v>40</v>
      </c>
      <c r="E18" s="27">
        <v>80</v>
      </c>
      <c r="F18" s="27">
        <v>58</v>
      </c>
      <c r="G18" s="27">
        <v>620</v>
      </c>
      <c r="H18" s="26">
        <v>1797</v>
      </c>
      <c r="I18" s="27">
        <v>232</v>
      </c>
      <c r="J18" s="27">
        <v>21</v>
      </c>
      <c r="K18" s="27">
        <v>18</v>
      </c>
      <c r="L18" s="27">
        <v>32</v>
      </c>
      <c r="M18" s="27">
        <v>46</v>
      </c>
      <c r="N18" s="27">
        <v>47</v>
      </c>
    </row>
    <row r="19" spans="2:14">
      <c r="B19" s="25" t="s">
        <v>101</v>
      </c>
      <c r="C19" s="27">
        <v>0</v>
      </c>
      <c r="D19" s="27">
        <v>0</v>
      </c>
      <c r="E19" s="27">
        <v>-160</v>
      </c>
      <c r="F19" s="27">
        <v>0</v>
      </c>
      <c r="G19" s="27">
        <v>-107</v>
      </c>
      <c r="H19" s="27">
        <v>-4</v>
      </c>
      <c r="I19" s="27">
        <v>-9</v>
      </c>
      <c r="J19" s="27">
        <v>-606</v>
      </c>
      <c r="K19" s="27">
        <v>-10</v>
      </c>
      <c r="L19" s="27">
        <v>0</v>
      </c>
      <c r="M19" s="27">
        <v>0</v>
      </c>
      <c r="N19" s="27">
        <v>-150</v>
      </c>
    </row>
    <row r="20" spans="2:14">
      <c r="B20" s="25" t="s">
        <v>102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14</v>
      </c>
      <c r="I20" s="27">
        <v>533</v>
      </c>
      <c r="J20" s="27">
        <v>0</v>
      </c>
      <c r="K20" s="27">
        <v>0</v>
      </c>
      <c r="L20" s="27">
        <v>0</v>
      </c>
      <c r="M20" s="27">
        <v>19</v>
      </c>
      <c r="N20" s="27">
        <v>108</v>
      </c>
    </row>
    <row r="21" spans="2:14">
      <c r="B21" s="25" t="s">
        <v>103</v>
      </c>
      <c r="C21" s="27">
        <v>0</v>
      </c>
      <c r="D21" s="27">
        <v>-185</v>
      </c>
      <c r="E21" s="27">
        <v>0</v>
      </c>
      <c r="F21" s="27">
        <v>-111</v>
      </c>
      <c r="G21" s="27">
        <v>0</v>
      </c>
      <c r="H21" s="27">
        <v>0</v>
      </c>
      <c r="I21" s="27">
        <v>-8</v>
      </c>
      <c r="J21" s="27">
        <v>-27</v>
      </c>
      <c r="K21" s="27">
        <v>0</v>
      </c>
      <c r="L21" s="27">
        <v>-98</v>
      </c>
      <c r="M21" s="27">
        <v>0</v>
      </c>
      <c r="N21" s="27">
        <v>0</v>
      </c>
    </row>
    <row r="22" spans="2:14">
      <c r="B22" s="25" t="s">
        <v>104</v>
      </c>
      <c r="C22" s="27">
        <v>45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-24</v>
      </c>
    </row>
    <row r="23" spans="2:14">
      <c r="B23" s="25" t="s">
        <v>105</v>
      </c>
      <c r="C23" s="26">
        <v>-5103</v>
      </c>
      <c r="D23" s="26">
        <v>-1149</v>
      </c>
      <c r="E23" s="27">
        <v>456</v>
      </c>
      <c r="F23" s="26">
        <v>-1289</v>
      </c>
      <c r="G23" s="26">
        <v>-26663</v>
      </c>
      <c r="H23" s="26">
        <v>5360</v>
      </c>
      <c r="I23" s="26">
        <v>7335</v>
      </c>
      <c r="J23" s="26">
        <v>-2659</v>
      </c>
      <c r="K23" s="26">
        <v>1051</v>
      </c>
      <c r="L23" s="26">
        <v>12813</v>
      </c>
      <c r="M23" s="26">
        <v>-4357</v>
      </c>
      <c r="N23" s="26">
        <v>-4817</v>
      </c>
    </row>
    <row r="24" spans="2:14">
      <c r="B24" s="22" t="s">
        <v>106</v>
      </c>
      <c r="C24" s="23">
        <v>-1692</v>
      </c>
      <c r="D24" s="23">
        <v>-3883</v>
      </c>
      <c r="E24" s="23">
        <v>5201</v>
      </c>
      <c r="F24" s="23">
        <v>-3795</v>
      </c>
      <c r="G24" s="23">
        <v>6205</v>
      </c>
      <c r="H24" s="23">
        <v>2012</v>
      </c>
      <c r="I24" s="23">
        <v>8830</v>
      </c>
      <c r="J24" s="23">
        <v>3390</v>
      </c>
      <c r="K24" s="23">
        <v>9904</v>
      </c>
      <c r="L24" s="23">
        <v>-3380</v>
      </c>
      <c r="M24" s="23">
        <v>-26243</v>
      </c>
      <c r="N24" s="23">
        <v>-37006</v>
      </c>
    </row>
    <row r="25" spans="2:14">
      <c r="B25" s="25" t="s">
        <v>107</v>
      </c>
      <c r="C25" s="27">
        <v>1</v>
      </c>
      <c r="D25" s="27">
        <v>0</v>
      </c>
      <c r="E25" s="27">
        <v>0</v>
      </c>
      <c r="F25" s="26">
        <v>7433</v>
      </c>
      <c r="G25" s="27">
        <v>5</v>
      </c>
      <c r="H25" s="27">
        <v>0</v>
      </c>
      <c r="I25" s="27">
        <v>0</v>
      </c>
      <c r="J25" s="26">
        <v>3889</v>
      </c>
      <c r="K25" s="26">
        <v>2603</v>
      </c>
      <c r="L25" s="27">
        <v>19</v>
      </c>
      <c r="M25" s="27">
        <v>20</v>
      </c>
      <c r="N25" s="27">
        <v>82</v>
      </c>
    </row>
    <row r="26" spans="2:14">
      <c r="B26" s="25" t="s">
        <v>108</v>
      </c>
      <c r="C26" s="27">
        <v>-97</v>
      </c>
      <c r="D26" s="27">
        <v>-658</v>
      </c>
      <c r="E26" s="27">
        <v>-744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</row>
    <row r="27" spans="2:14">
      <c r="B27" s="25" t="s">
        <v>109</v>
      </c>
      <c r="C27" s="26">
        <v>27863</v>
      </c>
      <c r="D27" s="26">
        <v>33258</v>
      </c>
      <c r="E27" s="26">
        <v>36363</v>
      </c>
      <c r="F27" s="26">
        <v>19519</v>
      </c>
      <c r="G27" s="26">
        <v>33390</v>
      </c>
      <c r="H27" s="26">
        <v>37482</v>
      </c>
      <c r="I27" s="26">
        <v>51128</v>
      </c>
      <c r="J27" s="26">
        <v>38297</v>
      </c>
      <c r="K27" s="26">
        <v>46641</v>
      </c>
      <c r="L27" s="26">
        <v>46578</v>
      </c>
      <c r="M27" s="26">
        <v>43934</v>
      </c>
      <c r="N27" s="26">
        <v>18747</v>
      </c>
    </row>
    <row r="28" spans="2:14">
      <c r="B28" s="25" t="s">
        <v>110</v>
      </c>
      <c r="C28" s="26">
        <v>-20395</v>
      </c>
      <c r="D28" s="26">
        <v>-29141</v>
      </c>
      <c r="E28" s="26">
        <v>-23332</v>
      </c>
      <c r="F28" s="26">
        <v>-24924</v>
      </c>
      <c r="G28" s="26">
        <v>-21732</v>
      </c>
      <c r="H28" s="26">
        <v>-29964</v>
      </c>
      <c r="I28" s="26">
        <v>-35198</v>
      </c>
      <c r="J28" s="26">
        <v>-29847</v>
      </c>
      <c r="K28" s="26">
        <v>-29709</v>
      </c>
      <c r="L28" s="26">
        <v>-42816</v>
      </c>
      <c r="M28" s="26">
        <v>-62557</v>
      </c>
      <c r="N28" s="26">
        <v>-47332</v>
      </c>
    </row>
    <row r="29" spans="2:14">
      <c r="B29" s="25" t="s">
        <v>111</v>
      </c>
      <c r="C29" s="26">
        <v>-4666</v>
      </c>
      <c r="D29" s="26">
        <v>-6171</v>
      </c>
      <c r="E29" s="26">
        <v>-6307</v>
      </c>
      <c r="F29" s="26">
        <v>-5716</v>
      </c>
      <c r="G29" s="26">
        <v>-5336</v>
      </c>
      <c r="H29" s="26">
        <v>-5411</v>
      </c>
      <c r="I29" s="26">
        <v>-7005</v>
      </c>
      <c r="J29" s="26">
        <v>-7518</v>
      </c>
      <c r="K29" s="26">
        <v>-8123</v>
      </c>
      <c r="L29" s="26">
        <v>-9251</v>
      </c>
      <c r="M29" s="26">
        <v>-9336</v>
      </c>
      <c r="N29" s="26">
        <v>-9332</v>
      </c>
    </row>
    <row r="30" spans="2:14">
      <c r="B30" s="25" t="s">
        <v>112</v>
      </c>
      <c r="C30" s="26">
        <v>-1551</v>
      </c>
      <c r="D30" s="27">
        <v>-722</v>
      </c>
      <c r="E30" s="27">
        <v>-720</v>
      </c>
      <c r="F30" s="27">
        <v>-108</v>
      </c>
      <c r="G30" s="27">
        <v>-121</v>
      </c>
      <c r="H30" s="27">
        <v>-96</v>
      </c>
      <c r="I30" s="27">
        <v>-95</v>
      </c>
      <c r="J30" s="27">
        <v>-57</v>
      </c>
      <c r="K30" s="27">
        <v>-30</v>
      </c>
      <c r="L30" s="27">
        <v>-100</v>
      </c>
      <c r="M30" s="27">
        <v>-141</v>
      </c>
      <c r="N30" s="26">
        <v>-1059</v>
      </c>
    </row>
    <row r="31" spans="2:14">
      <c r="B31" s="25" t="s">
        <v>113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6">
        <v>-1346</v>
      </c>
      <c r="K31" s="26">
        <v>-1477</v>
      </c>
      <c r="L31" s="26">
        <v>-1559</v>
      </c>
      <c r="M31" s="26">
        <v>-1517</v>
      </c>
      <c r="N31" s="26">
        <v>-1924</v>
      </c>
    </row>
    <row r="32" spans="2:14">
      <c r="B32" s="25" t="s">
        <v>114</v>
      </c>
      <c r="C32" s="26">
        <v>-2849</v>
      </c>
      <c r="D32" s="27">
        <v>-450</v>
      </c>
      <c r="E32" s="27">
        <v>-57</v>
      </c>
      <c r="F32" s="27">
        <v>0</v>
      </c>
      <c r="G32" s="27">
        <v>0</v>
      </c>
      <c r="H32" s="27">
        <v>0</v>
      </c>
      <c r="I32" s="27">
        <v>0</v>
      </c>
      <c r="J32" s="27">
        <v>-29</v>
      </c>
      <c r="K32" s="27">
        <v>0</v>
      </c>
      <c r="L32" s="26">
        <v>3750</v>
      </c>
      <c r="M32" s="26">
        <v>3355</v>
      </c>
      <c r="N32" s="26">
        <v>3812</v>
      </c>
    </row>
    <row r="33" spans="2:14">
      <c r="B33" s="22" t="s">
        <v>23</v>
      </c>
      <c r="C33" s="23">
        <v>-2499</v>
      </c>
      <c r="D33" s="23">
        <v>4277</v>
      </c>
      <c r="E33" s="23">
        <v>4500</v>
      </c>
      <c r="F33" s="23">
        <v>-2589</v>
      </c>
      <c r="G33" s="23">
        <v>-3167</v>
      </c>
      <c r="H33" s="28">
        <v>730</v>
      </c>
      <c r="I33" s="23">
        <v>6843</v>
      </c>
      <c r="J33" s="23">
        <v>-3092</v>
      </c>
      <c r="K33" s="23">
        <v>13232</v>
      </c>
      <c r="L33" s="23">
        <v>6459</v>
      </c>
      <c r="M33" s="23">
        <v>-6272</v>
      </c>
      <c r="N33" s="23">
        <v>8128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99DB-F72B-4246-A1F5-26D76B37FF7F}">
  <sheetPr>
    <tabColor rgb="FF0000CC"/>
  </sheetPr>
  <dimension ref="B1:O39"/>
  <sheetViews>
    <sheetView topLeftCell="A8" zoomScale="93" workbookViewId="0">
      <selection activeCell="G41" sqref="G41"/>
    </sheetView>
  </sheetViews>
  <sheetFormatPr defaultRowHeight="15"/>
  <cols>
    <col min="1" max="1" width="1.85546875" customWidth="1"/>
    <col min="2" max="2" width="45.7109375" customWidth="1"/>
    <col min="3" max="3" width="13.42578125" customWidth="1"/>
    <col min="4" max="4" width="12.42578125" customWidth="1"/>
    <col min="5" max="5" width="13.28515625" customWidth="1"/>
    <col min="6" max="6" width="11.7109375" customWidth="1"/>
    <col min="7" max="7" width="12.42578125" customWidth="1"/>
    <col min="8" max="8" width="11.7109375" customWidth="1"/>
    <col min="9" max="9" width="11.85546875" customWidth="1"/>
    <col min="10" max="11" width="11.7109375" customWidth="1"/>
    <col min="12" max="12" width="12" bestFit="1" customWidth="1"/>
    <col min="13" max="13" width="25.42578125" customWidth="1"/>
    <col min="14" max="14" width="18.5703125" customWidth="1"/>
    <col min="15" max="15" width="18.140625" customWidth="1"/>
  </cols>
  <sheetData>
    <row r="1" spans="2:15">
      <c r="B1" s="12" t="s">
        <v>138</v>
      </c>
    </row>
    <row r="2" spans="2:15">
      <c r="B2" s="13" t="s">
        <v>55</v>
      </c>
      <c r="C2" s="46">
        <v>42094</v>
      </c>
      <c r="D2" s="46">
        <v>42460</v>
      </c>
      <c r="E2" s="46">
        <v>42825</v>
      </c>
      <c r="F2" s="46">
        <v>43190</v>
      </c>
      <c r="G2" s="46">
        <v>43555</v>
      </c>
      <c r="H2" s="46">
        <v>43921</v>
      </c>
      <c r="I2" s="46">
        <v>44286</v>
      </c>
      <c r="J2" s="46">
        <v>44651</v>
      </c>
      <c r="K2" s="46">
        <v>45016</v>
      </c>
      <c r="L2" s="46">
        <v>45382</v>
      </c>
      <c r="N2" s="46" t="s">
        <v>157</v>
      </c>
      <c r="O2" s="46" t="s">
        <v>158</v>
      </c>
    </row>
    <row r="3" spans="2:15">
      <c r="B3" s="10" t="s">
        <v>125</v>
      </c>
      <c r="C3" s="19">
        <v>263158.98</v>
      </c>
      <c r="D3" s="11">
        <v>273045.59999999998</v>
      </c>
      <c r="E3" s="11">
        <v>269692.51</v>
      </c>
      <c r="F3" s="11">
        <v>291550.48</v>
      </c>
      <c r="G3" s="11">
        <v>301938.40000000002</v>
      </c>
      <c r="H3" s="11">
        <v>261067.97</v>
      </c>
      <c r="I3" s="11">
        <v>249794.75</v>
      </c>
      <c r="J3" s="11">
        <v>278453.62</v>
      </c>
      <c r="K3" s="11">
        <v>345966.97</v>
      </c>
      <c r="L3" s="11">
        <v>437927.77</v>
      </c>
    </row>
    <row r="4" spans="2:15">
      <c r="B4" s="10" t="s">
        <v>125</v>
      </c>
      <c r="D4" s="7">
        <f>IFERROR('HISTORICAL FS'!D6,0)</f>
        <v>3.75690010654397E-2</v>
      </c>
      <c r="E4" s="7">
        <f>IFERROR('HISTORICAL FS'!E6,0)</f>
        <v>-1.2280329732469508E-2</v>
      </c>
      <c r="F4" s="7">
        <f>IFERROR('HISTORICAL FS'!F6,0)</f>
        <v>8.104774581985974E-2</v>
      </c>
      <c r="G4" s="7">
        <f>IFERROR('HISTORICAL FS'!G6,0)</f>
        <v>3.5629919045237157E-2</v>
      </c>
      <c r="H4" s="7">
        <f>IFERROR('HISTORICAL FS'!H6,0)</f>
        <v>-0.135360159555724</v>
      </c>
      <c r="I4" s="7">
        <f>IFERROR('HISTORICAL FS'!I6,0)</f>
        <v>-4.3181168490336042E-2</v>
      </c>
      <c r="J4" s="7">
        <f>IFERROR('HISTORICAL FS'!J6,0)</f>
        <v>0.11472967306158344</v>
      </c>
      <c r="K4" s="7">
        <f>IFERROR('HISTORICAL FS'!K6,0)</f>
        <v>0.24245815155859707</v>
      </c>
      <c r="L4" s="7">
        <f>IFERROR('HISTORICAL FS'!L6,0)</f>
        <v>0.26580803363974326</v>
      </c>
      <c r="N4" s="7">
        <f>IFERROR(AVERAGE(D4:L4),0)</f>
        <v>6.5157874045770087E-2</v>
      </c>
      <c r="O4" s="7">
        <f>IFERROR(MEDIAN(D4:L4),0)</f>
        <v>3.75690010654397E-2</v>
      </c>
    </row>
    <row r="5" spans="2:15">
      <c r="B5" s="10" t="s">
        <v>126</v>
      </c>
      <c r="D5" s="7">
        <f>IFERROR('HISTORICAL FS'!D17/'HISTORICAL FS'!C17-1,0)</f>
        <v>-2.1494113584437979E-2</v>
      </c>
      <c r="E5" s="7">
        <f>IFERROR('HISTORICAL FS'!E17/'HISTORICAL FS'!D17-1,0)</f>
        <v>-0.22936587208052905</v>
      </c>
      <c r="F5" s="7">
        <f>IFERROR('HISTORICAL FS'!F17/'HISTORICAL FS'!E17-1,0)</f>
        <v>6.3165689322506102E-2</v>
      </c>
      <c r="G5" s="7">
        <f>IFERROR('HISTORICAL FS'!G17/'HISTORICAL FS'!F17-1,0)</f>
        <v>-0.21595203460649259</v>
      </c>
      <c r="H5" s="7">
        <f>IFERROR('HISTORICAL FS'!H17/'HISTORICAL FS'!G17-1,0)</f>
        <v>-0.27072537547138131</v>
      </c>
      <c r="I5" s="7">
        <f>IFERROR('HISTORICAL FS'!I17/'HISTORICAL FS'!H17-1,0)</f>
        <v>0.79503554497758966</v>
      </c>
      <c r="J5" s="7">
        <f>IFERROR('HISTORICAL FS'!J17/'HISTORICAL FS'!I17-1,0)</f>
        <v>-0.234374182150762</v>
      </c>
      <c r="K5" s="7">
        <f>IFERROR('HISTORICAL FS'!K17/'HISTORICAL FS'!J17-1,0)</f>
        <v>0.28704223973294352</v>
      </c>
      <c r="L5" s="7">
        <f>IFERROR('HISTORICAL FS'!L17/'HISTORICAL FS'!K17-1,0)</f>
        <v>0.87134505497269021</v>
      </c>
      <c r="N5" s="7">
        <f t="shared" ref="N5:N8" si="0">IFERROR(AVERAGE(D5:L5),0)</f>
        <v>0.11607521679023629</v>
      </c>
      <c r="O5" s="7">
        <f t="shared" ref="O5:O8" si="1">IFERROR(MEDIAN(D5:L5),0)</f>
        <v>-2.1494113584437979E-2</v>
      </c>
    </row>
    <row r="6" spans="2:15">
      <c r="B6" s="10" t="s">
        <v>127</v>
      </c>
      <c r="D6" s="7">
        <f>IFERROR('HISTORICAL FS'!D26/'HISTORICAL FS'!C26-1,0)</f>
        <v>-0.34911964302828791</v>
      </c>
      <c r="E6" s="7">
        <f>IFERROR('HISTORICAL FS'!E26/'HISTORICAL FS'!D26-1,0)</f>
        <v>-0.34058178775387105</v>
      </c>
      <c r="F6" s="7">
        <f>IFERROR('HISTORICAL FS'!F26/'HISTORICAL FS'!E26-1,0)</f>
        <v>0.19756108296590691</v>
      </c>
      <c r="G6" s="7">
        <f>IFERROR('HISTORICAL FS'!G26/'HISTORICAL FS'!F26-1,0)</f>
        <v>-3.8122873717058581</v>
      </c>
      <c r="H6" s="7">
        <f>IFERROR('HISTORICAL FS'!H26/'HISTORICAL FS'!G26-1,0)</f>
        <v>-0.66274809817300295</v>
      </c>
      <c r="I6" s="7">
        <f>IFERROR('HISTORICAL FS'!I26/'HISTORICAL FS'!H26-1,0)</f>
        <v>-9.9905670899187449E-3</v>
      </c>
      <c r="J6" s="7">
        <f>IFERROR('HISTORICAL FS'!J26/'HISTORICAL FS'!I26-1,0)</f>
        <v>-0.33137074815643663</v>
      </c>
      <c r="K6" s="7">
        <f>IFERROR('HISTORICAL FS'!K26/'HISTORICAL FS'!J26-1,0)</f>
        <v>-1.4846110680368563</v>
      </c>
      <c r="L6" s="7">
        <f>IFERROR('HISTORICAL FS'!L26/'HISTORICAL FS'!K26-1,0)</f>
        <v>7.236796280418277</v>
      </c>
      <c r="N6" s="7">
        <f t="shared" si="0"/>
        <v>4.9294231048883655E-2</v>
      </c>
      <c r="O6" s="7">
        <f t="shared" si="1"/>
        <v>-0.34058178775387105</v>
      </c>
    </row>
    <row r="7" spans="2:15">
      <c r="B7" s="10" t="s">
        <v>128</v>
      </c>
      <c r="D7" s="7">
        <f>IFERROR('HISTORICAL FS'!D32/'HISTORICAL FS'!C32-1,0)</f>
        <v>-0.21045545230500051</v>
      </c>
      <c r="E7" s="7">
        <f>IFERROR('HISTORICAL FS'!E32/'HISTORICAL FS'!D32-1,0)</f>
        <v>-0.45376876454860582</v>
      </c>
      <c r="F7" s="7">
        <f>IFERROR('HISTORICAL FS'!F32/'HISTORICAL FS'!E32-1,0)</f>
        <v>0.12361385060921282</v>
      </c>
      <c r="G7" s="7">
        <f>IFERROR('HISTORICAL FS'!G32/'HISTORICAL FS'!F32-1,0)</f>
        <v>-5.2467745959988843</v>
      </c>
      <c r="H7" s="7">
        <f>IFERROR('HISTORICAL FS'!H32/'HISTORICAL FS'!G32-1,0)</f>
        <v>-0.62067658128756431</v>
      </c>
      <c r="I7" s="7">
        <f>IFERROR('HISTORICAL FS'!I32/'HISTORICAL FS'!H32-1,0)</f>
        <v>0.18595601185578814</v>
      </c>
      <c r="J7" s="7">
        <f>IFERROR('HISTORICAL FS'!J32/'HISTORICAL FS'!I32-1,0)</f>
        <v>-0.13686392432779615</v>
      </c>
      <c r="K7" s="7">
        <f>IFERROR('HISTORICAL FS'!K32/'HISTORICAL FS'!J32-1,0)</f>
        <v>-1.2394251737919126</v>
      </c>
      <c r="L7" s="7">
        <f>IFERROR('HISTORICAL FS'!L32/'HISTORICAL FS'!K32-1,0)</f>
        <v>10.824642083074647</v>
      </c>
      <c r="N7" s="7">
        <f t="shared" si="0"/>
        <v>0.35847193925332044</v>
      </c>
      <c r="O7" s="7">
        <f t="shared" si="1"/>
        <v>-0.21045545230500051</v>
      </c>
    </row>
    <row r="8" spans="2:15">
      <c r="B8" s="10" t="s">
        <v>129</v>
      </c>
      <c r="D8" s="7">
        <f>IFERROR('HISTORICAL FS'!D39/'HISTORICAL FS'!C39-1,0)</f>
        <v>0</v>
      </c>
      <c r="E8" s="7">
        <f>IFERROR('HISTORICAL FS'!E39/'HISTORICAL FS'!D39-1,0)</f>
        <v>-1</v>
      </c>
      <c r="F8" s="7">
        <f>IFERROR('HISTORICAL FS'!F39/'HISTORICAL FS'!E39-1,0)</f>
        <v>0</v>
      </c>
      <c r="G8" s="7">
        <f>IFERROR('HISTORICAL FS'!G39/'HISTORICAL FS'!F39-1,0)</f>
        <v>0</v>
      </c>
      <c r="H8" s="7">
        <f>IFERROR('HISTORICAL FS'!H39/'HISTORICAL FS'!G39-1,0)</f>
        <v>0</v>
      </c>
      <c r="I8" s="7">
        <f>IFERROR('HISTORICAL FS'!I39/'HISTORICAL FS'!H39-1,0)</f>
        <v>0</v>
      </c>
      <c r="J8" s="7">
        <f>IFERROR('HISTORICAL FS'!J39/'HISTORICAL FS'!I39-1,0)</f>
        <v>0</v>
      </c>
      <c r="K8" s="7">
        <f>IFERROR('HISTORICAL FS'!K39/'HISTORICAL FS'!J39-1,0)</f>
        <v>0</v>
      </c>
      <c r="L8" s="7">
        <f>IFERROR('HISTORICAL FS'!L39/'HISTORICAL FS'!K39-1,0)</f>
        <v>1.9997122285739932</v>
      </c>
      <c r="N8" s="7">
        <f t="shared" si="0"/>
        <v>0.11107913650822147</v>
      </c>
      <c r="O8" s="7">
        <f t="shared" si="1"/>
        <v>0</v>
      </c>
    </row>
    <row r="9" spans="2:15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2:15">
      <c r="B10" s="10" t="s">
        <v>130</v>
      </c>
      <c r="C10" s="7">
        <f>IFERROR('HISTORICAL FS'!C11/'HISTORICAL FS'!C5,0)</f>
        <v>0.22914703499762759</v>
      </c>
      <c r="D10" s="7">
        <f>IFERROR('HISTORICAL FS'!D11/'HISTORICAL FS'!D5,0)</f>
        <v>0.24734524196690946</v>
      </c>
      <c r="E10" s="7">
        <f>IFERROR('HISTORICAL FS'!E11/'HISTORICAL FS'!E5,0)</f>
        <v>0.23819078253229964</v>
      </c>
      <c r="F10" s="7">
        <f>IFERROR('HISTORICAL FS'!F11/'HISTORICAL FS'!F5,0)</f>
        <v>0.21649990080619999</v>
      </c>
      <c r="G10" s="7">
        <f>IFERROR('HISTORICAL FS'!G11/'HISTORICAL FS'!G5,0)</f>
        <v>0.19571167496416494</v>
      </c>
      <c r="H10" s="7">
        <f>IFERROR('HISTORICAL FS'!H11/'HISTORICAL FS'!H5,0)</f>
        <v>0.19417127271491774</v>
      </c>
      <c r="I10" s="7">
        <f>IFERROR('HISTORICAL FS'!I11/'HISTORICAL FS'!I5,0)</f>
        <v>0.2180538622208833</v>
      </c>
      <c r="J10" s="7">
        <f>IFERROR('HISTORICAL FS'!J11/'HISTORICAL FS'!J5,0)</f>
        <v>0.19807108271747378</v>
      </c>
      <c r="K10" s="7">
        <f>IFERROR('HISTORICAL FS'!K11/'HISTORICAL FS'!K5,0)</f>
        <v>0.20685017994636876</v>
      </c>
      <c r="L10" s="7">
        <f>IFERROR('HISTORICAL FS'!L11/'HISTORICAL FS'!L5,0)</f>
        <v>0.23605714704961514</v>
      </c>
      <c r="N10" s="7">
        <f>IFERROR(AVERAGE(C10:L10),0)</f>
        <v>0.21800981799164604</v>
      </c>
      <c r="O10" s="7">
        <f>IFERROR(MEDIAN(C10:L10),0)</f>
        <v>0.21727688151354163</v>
      </c>
    </row>
    <row r="11" spans="2:15">
      <c r="B11" s="10" t="s">
        <v>131</v>
      </c>
      <c r="C11" s="7">
        <f>IFERROR('HISTORICAL FS'!C18,0)</f>
        <v>0.14910625508580397</v>
      </c>
      <c r="D11" s="7">
        <f>IFERROR('HISTORICAL FS'!D18,0)</f>
        <v>0.14061845347443788</v>
      </c>
      <c r="E11" s="7">
        <f>IFERROR('HISTORICAL FS'!E18,0)</f>
        <v>0.10971268723777329</v>
      </c>
      <c r="F11" s="7">
        <f>IFERROR('HISTORICAL FS'!F18,0)</f>
        <v>0.10789788444182975</v>
      </c>
      <c r="G11" s="7">
        <f>IFERROR('HISTORICAL FS'!G18,0)</f>
        <v>8.1686628795807431E-2</v>
      </c>
      <c r="H11" s="7">
        <f>IFERROR('HISTORICAL FS'!H18,0)</f>
        <v>6.8898034485042198E-2</v>
      </c>
      <c r="I11" s="7">
        <f>IFERROR('HISTORICAL FS'!I18,0)</f>
        <v>0.12925583904385496</v>
      </c>
      <c r="J11" s="7">
        <f>IFERROR('HISTORICAL FS'!J18,0)</f>
        <v>8.877632835227646E-2</v>
      </c>
      <c r="K11" s="7">
        <f>IFERROR('HISTORICAL FS'!K18,0)</f>
        <v>9.1961958102532049E-2</v>
      </c>
      <c r="L11" s="7">
        <f>IFERROR('HISTORICAL FS'!L18,0)</f>
        <v>0.13595470321509878</v>
      </c>
      <c r="N11" s="7">
        <f t="shared" ref="N11:N39" si="2">IFERROR(AVERAGE(C11:L11),0)</f>
        <v>0.11038687722344567</v>
      </c>
      <c r="O11" s="7">
        <f t="shared" ref="O11:O14" si="3">IFERROR(MEDIAN(C11:L11),0)</f>
        <v>0.10880528583980152</v>
      </c>
    </row>
    <row r="12" spans="2:15">
      <c r="B12" s="10" t="s">
        <v>132</v>
      </c>
      <c r="C12" s="7">
        <f>IFERROR((('HISTORICAL FS'!C17-'HISTORICAL FS'!C23)/'HISTORICAL FS'!C5),0)</f>
        <v>9.8229670900837146E-2</v>
      </c>
      <c r="D12" s="7">
        <f>IFERROR((('HISTORICAL FS'!D17-'HISTORICAL FS'!D23)/'HISTORICAL FS'!D5),0)</f>
        <v>7.941702777851016E-2</v>
      </c>
      <c r="E12" s="7">
        <f>IFERROR((('HISTORICAL FS'!E17-'HISTORICAL FS'!E23)/'HISTORICAL FS'!E5),0)</f>
        <v>4.3322300645279484E-2</v>
      </c>
      <c r="F12" s="7">
        <f>IFERROR((('HISTORICAL FS'!F17-'HISTORICAL FS'!F23)/'HISTORICAL FS'!F5),0)</f>
        <v>3.3970412259310953E-2</v>
      </c>
      <c r="G12" s="7">
        <f>IFERROR((('HISTORICAL FS'!G17-'HISTORICAL FS'!G23)/'HISTORICAL FS'!G5),0)</f>
        <v>3.5560233478087663E-3</v>
      </c>
      <c r="H12" s="7">
        <f>IFERROR((('HISTORICAL FS'!H17-'HISTORICAL FS'!H23)/'HISTORICAL FS'!H5),0)</f>
        <v>-1.3170363258273456E-2</v>
      </c>
      <c r="I12" s="7">
        <f>IFERROR((('HISTORICAL FS'!I17-'HISTORICAL FS'!I23)/'HISTORICAL FS'!I5),0)</f>
        <v>3.4991608110258483E-2</v>
      </c>
      <c r="J12" s="7">
        <f>IFERROR((('HISTORICAL FS'!J17-'HISTORICAL FS'!J23)/'HISTORICAL FS'!J5),0)</f>
        <v>-4.1514992694289269E-4</v>
      </c>
      <c r="K12" s="7">
        <f>IFERROR((('HISTORICAL FS'!K17-'HISTORICAL FS'!K23)/'HISTORICAL FS'!K5),0)</f>
        <v>2.0104346955433228E-2</v>
      </c>
      <c r="L12" s="7">
        <f>IFERROR((('HISTORICAL FS'!L17-'HISTORICAL FS'!L23)/'HISTORICAL FS'!L5),0)</f>
        <v>7.3683863437114389E-2</v>
      </c>
      <c r="N12" s="7">
        <f t="shared" si="2"/>
        <v>3.7368974024933624E-2</v>
      </c>
      <c r="O12" s="7">
        <f t="shared" si="3"/>
        <v>3.4481010184784722E-2</v>
      </c>
    </row>
    <row r="13" spans="2:15">
      <c r="B13" s="10" t="s">
        <v>133</v>
      </c>
      <c r="C13" s="7">
        <f>IFERROR('HISTORICAL FS'!C27,0)</f>
        <v>8.246938789624432E-2</v>
      </c>
      <c r="D13" s="7">
        <f>IFERROR('HISTORICAL FS'!D27,0)</f>
        <v>5.1734105951533375E-2</v>
      </c>
      <c r="E13" s="7">
        <f>IFERROR('HISTORICAL FS'!E27,0)</f>
        <v>3.453855652127677E-2</v>
      </c>
      <c r="F13" s="7">
        <f>IFERROR('HISTORICAL FS'!F27,0)</f>
        <v>3.8261058599526235E-2</v>
      </c>
      <c r="G13" s="7">
        <f>IFERROR('HISTORICAL FS'!G27,0)</f>
        <v>-0.10389917281140788</v>
      </c>
      <c r="H13" s="7">
        <f>IFERROR('HISTORICAL FS'!H27,0)</f>
        <v>-4.0525768059559354E-2</v>
      </c>
      <c r="I13" s="7">
        <f>IFERROR('HISTORICAL FS'!I27,0)</f>
        <v>-4.1931545799101064E-2</v>
      </c>
      <c r="J13" s="7">
        <f>IFERROR('HISTORICAL FS'!J27,0)</f>
        <v>-2.5151082611172375E-2</v>
      </c>
      <c r="K13" s="7">
        <f>IFERROR('HISTORICAL FS'!K27,0)</f>
        <v>9.809982727541881E-3</v>
      </c>
      <c r="L13" s="7">
        <f>IFERROR('HISTORICAL FS'!L27,0)</f>
        <v>6.3834978996650513E-2</v>
      </c>
      <c r="N13" s="7">
        <f t="shared" si="2"/>
        <v>6.9140501411532416E-3</v>
      </c>
      <c r="O13" s="7">
        <f t="shared" si="3"/>
        <v>2.2174269624409326E-2</v>
      </c>
    </row>
    <row r="14" spans="2:15">
      <c r="B14" s="10" t="s">
        <v>134</v>
      </c>
      <c r="C14" s="7">
        <f>IFERROR('HISTORICAL FS'!C33,0)</f>
        <v>5.3426449669321571E-2</v>
      </c>
      <c r="D14" s="7">
        <f>IFERROR('HISTORICAL FS'!D33,0)</f>
        <v>4.0655187265423803E-2</v>
      </c>
      <c r="E14" s="7">
        <f>IFERROR('HISTORICAL FS'!E33,0)</f>
        <v>2.2483234703106886E-2</v>
      </c>
      <c r="F14" s="7">
        <f>IFERROR('HISTORICAL FS'!F33,0)</f>
        <v>2.336850894568927E-2</v>
      </c>
      <c r="G14" s="7">
        <f>IFERROR('HISTORICAL FS'!G33,0)</f>
        <v>-9.5826499709874585E-2</v>
      </c>
      <c r="H14" s="7">
        <f>IFERROR('HISTORICAL FS'!H33,0)</f>
        <v>-4.203974160445649E-2</v>
      </c>
      <c r="I14" s="7">
        <f>IFERROR('HISTORICAL FS'!I33,0)</f>
        <v>-5.2107340126243649E-2</v>
      </c>
      <c r="J14" s="7">
        <f>IFERROR('HISTORICAL FS'!J33,0)</f>
        <v>-4.0346755053857805E-2</v>
      </c>
      <c r="K14" s="7">
        <f>IFERROR('HISTORICAL FS'!K33,0)</f>
        <v>7.7749329654215257E-3</v>
      </c>
      <c r="L14" s="7">
        <f>IFERROR('HISTORICAL FS'!L33,0)</f>
        <v>7.2630128023166929E-2</v>
      </c>
      <c r="N14" s="7">
        <f t="shared" si="2"/>
        <v>-9.9818949223025592E-4</v>
      </c>
      <c r="O14" s="7">
        <f t="shared" si="3"/>
        <v>1.5129083834264206E-2</v>
      </c>
    </row>
    <row r="15" spans="2:15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N15" s="7"/>
    </row>
    <row r="16" spans="2:15">
      <c r="B16" s="10" t="s">
        <v>136</v>
      </c>
      <c r="C16" s="7">
        <f>IFERROR('HISTORICAL FS'!C15,0)</f>
        <v>8.0040779911823637E-2</v>
      </c>
      <c r="D16" s="7">
        <f>IFERROR('HISTORICAL FS'!D15,0)</f>
        <v>0.10672678849247161</v>
      </c>
      <c r="E16" s="7">
        <f>IFERROR('HISTORICAL FS'!E15,0)</f>
        <v>0.12847809529452636</v>
      </c>
      <c r="F16" s="7">
        <f>IFERROR('HISTORICAL FS'!F15,0)</f>
        <v>0.10860201636437025</v>
      </c>
      <c r="G16" s="7">
        <f>IFERROR('HISTORICAL FS'!G15,0)</f>
        <v>0.11402504616835751</v>
      </c>
      <c r="H16" s="7">
        <f>IFERROR('HISTORICAL FS'!H15,0)</f>
        <v>0.12527323822987554</v>
      </c>
      <c r="I16" s="7">
        <f>IFERROR('HISTORICAL FS'!I15,0)</f>
        <v>8.8798023177028354E-2</v>
      </c>
      <c r="J16" s="7">
        <f>IFERROR('HISTORICAL FS'!J15,0)</f>
        <v>0.10929475436519734</v>
      </c>
      <c r="K16" s="7">
        <f>IFERROR('HISTORICAL FS'!K15,0)</f>
        <v>0.11488822184383672</v>
      </c>
      <c r="L16" s="7">
        <f>IFERROR('HISTORICAL FS'!L15,0)</f>
        <v>0.10010244383451636</v>
      </c>
      <c r="N16" s="7">
        <f>IFERROR(AVERAGE(C16:L16),0)</f>
        <v>0.10762294076820036</v>
      </c>
      <c r="O16" s="7">
        <f>IFERROR(MEDIAN(C16:L16),0)</f>
        <v>0.1089483853647838</v>
      </c>
    </row>
    <row r="17" spans="2:15">
      <c r="B17" s="10" t="s">
        <v>135</v>
      </c>
      <c r="C17" s="7">
        <f>IFERROR('HISTORICAL FS'!C24,0)</f>
        <v>5.0876584184966822E-2</v>
      </c>
      <c r="D17" s="7">
        <f>IFERROR('HISTORICAL FS'!D24,0)</f>
        <v>6.1201425695927715E-2</v>
      </c>
      <c r="E17" s="7">
        <f>IFERROR('HISTORICAL FS'!E24,0)</f>
        <v>6.63903865924938E-2</v>
      </c>
      <c r="F17" s="7">
        <f>IFERROR('HISTORICAL FS'!F24,0)</f>
        <v>7.3927472182518786E-2</v>
      </c>
      <c r="G17" s="7">
        <f>IFERROR('HISTORICAL FS'!G24,0)</f>
        <v>7.8130605447998658E-2</v>
      </c>
      <c r="H17" s="7">
        <f>IFERROR('HISTORICAL FS'!H24,0)</f>
        <v>8.206839774331566E-2</v>
      </c>
      <c r="I17" s="7">
        <f>IFERROR('HISTORICAL FS'!I24,0)</f>
        <v>9.4264230933596482E-2</v>
      </c>
      <c r="J17" s="7">
        <f>IFERROR('HISTORICAL FS'!J24,0)</f>
        <v>8.9191478279219347E-2</v>
      </c>
      <c r="K17" s="7">
        <f>IFERROR('HISTORICAL FS'!K24,0)</f>
        <v>7.1857611147098821E-2</v>
      </c>
      <c r="L17" s="7">
        <f>IFERROR('HISTORICAL FS'!L24,0)</f>
        <v>6.2270839777984394E-2</v>
      </c>
      <c r="N17" s="7">
        <f t="shared" ref="N17:N18" si="4">IFERROR(AVERAGE(C17:L17),0)</f>
        <v>7.3017903198512063E-2</v>
      </c>
      <c r="O17" s="7">
        <f t="shared" ref="O17:O18" si="5">IFERROR(MEDIAN(C17:L17),0)</f>
        <v>7.2892541664808796E-2</v>
      </c>
    </row>
    <row r="18" spans="2:15">
      <c r="B18" s="10" t="s">
        <v>137</v>
      </c>
      <c r="C18" s="7">
        <f>IFERROR(C12,0)</f>
        <v>9.8229670900837146E-2</v>
      </c>
      <c r="D18" s="7">
        <f t="shared" ref="D18:L18" si="6">IFERROR(D12,0)</f>
        <v>7.941702777851016E-2</v>
      </c>
      <c r="E18" s="7">
        <f t="shared" si="6"/>
        <v>4.3322300645279484E-2</v>
      </c>
      <c r="F18" s="7">
        <f t="shared" si="6"/>
        <v>3.3970412259310953E-2</v>
      </c>
      <c r="G18" s="7">
        <f t="shared" si="6"/>
        <v>3.5560233478087663E-3</v>
      </c>
      <c r="H18" s="7">
        <f t="shared" si="6"/>
        <v>-1.3170363258273456E-2</v>
      </c>
      <c r="I18" s="7">
        <f t="shared" si="6"/>
        <v>3.4991608110258483E-2</v>
      </c>
      <c r="J18" s="7">
        <f t="shared" si="6"/>
        <v>-4.1514992694289269E-4</v>
      </c>
      <c r="K18" s="7">
        <f t="shared" si="6"/>
        <v>2.0104346955433228E-2</v>
      </c>
      <c r="L18" s="7">
        <f t="shared" si="6"/>
        <v>7.3683863437114389E-2</v>
      </c>
      <c r="N18" s="7">
        <f t="shared" si="4"/>
        <v>3.7368974024933624E-2</v>
      </c>
      <c r="O18" s="7">
        <f t="shared" si="5"/>
        <v>3.4481010184784722E-2</v>
      </c>
    </row>
    <row r="19" spans="2:15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N19" s="7"/>
    </row>
    <row r="20" spans="2:15">
      <c r="B20" s="10" t="s">
        <v>140</v>
      </c>
      <c r="C20" s="7">
        <f>IFERROR(('HISTORICAL FS'!C17-'HISTORICAL FS'!C23)/('HISTORICAL FS'!C46+'HISTORICAL FS'!C47+'HISTORICAL FS'!C48),0)</f>
        <v>0.19904181268509033</v>
      </c>
      <c r="D20" s="7">
        <f>IFERROR(('HISTORICAL FS'!D17-'HISTORICAL FS'!D23)/('HISTORICAL FS'!D46+'HISTORICAL FS'!D47+'HISTORICAL FS'!D48),0)</f>
        <v>0.1462081011853561</v>
      </c>
      <c r="E20" s="7">
        <f>IFERROR(('HISTORICAL FS'!E17-'HISTORICAL FS'!E23)/('HISTORICAL FS'!E46+'HISTORICAL FS'!E47+'HISTORICAL FS'!E48),0)</f>
        <v>8.5490986154773282E-2</v>
      </c>
      <c r="F20" s="7">
        <f>IFERROR(('HISTORICAL FS'!F17-'HISTORICAL FS'!F23)/('HISTORICAL FS'!F46+'HISTORICAL FS'!F47+'HISTORICAL FS'!F48),0)</f>
        <v>5.3716113570365424E-2</v>
      </c>
      <c r="G20" s="7">
        <f>IFERROR(('HISTORICAL FS'!G17-'HISTORICAL FS'!G23)/('HISTORICAL FS'!G46+'HISTORICAL FS'!G47+'HISTORICAL FS'!G48),0)</f>
        <v>6.4542733637543747E-3</v>
      </c>
      <c r="H20" s="7">
        <f>IFERROR(('HISTORICAL FS'!H17-'HISTORICAL FS'!H23)/('HISTORICAL FS'!H46+'HISTORICAL FS'!H47+'HISTORICAL FS'!H48),0)</f>
        <v>-1.8302177555437667E-2</v>
      </c>
      <c r="I20" s="7">
        <f>IFERROR(('HISTORICAL FS'!I17-'HISTORICAL FS'!I23)/('HISTORICAL FS'!I46+'HISTORICAL FS'!I47+'HISTORICAL FS'!I48),0)</f>
        <v>4.4284324706251613E-2</v>
      </c>
      <c r="J20" s="7">
        <f>IFERROR(('HISTORICAL FS'!J17-'HISTORICAL FS'!J23)/('HISTORICAL FS'!J46+'HISTORICAL FS'!J47+'HISTORICAL FS'!J48),0)</f>
        <v>-6.0520306054739361E-4</v>
      </c>
      <c r="K20" s="7">
        <f>IFERROR(('HISTORICAL FS'!K17-'HISTORICAL FS'!K23)/('HISTORICAL FS'!K46+'HISTORICAL FS'!K47+'HISTORICAL FS'!K48),0)</f>
        <v>3.8762956416083731E-2</v>
      </c>
      <c r="L20" s="7">
        <f>IFERROR(('HISTORICAL FS'!L17-'HISTORICAL FS'!L23)/('HISTORICAL FS'!L46+'HISTORICAL FS'!L47+'HISTORICAL FS'!L48),0)</f>
        <v>0.16790572738589757</v>
      </c>
      <c r="N20" s="7">
        <f t="shared" si="2"/>
        <v>7.2295691485158756E-2</v>
      </c>
      <c r="O20" s="7">
        <f>IFERROR(MEDIAN(C20:L20),0)</f>
        <v>4.9000219138308515E-2</v>
      </c>
    </row>
    <row r="21" spans="2:15">
      <c r="B21" s="10" t="s">
        <v>141</v>
      </c>
      <c r="C21" s="7">
        <f>IFERROR('HISTORICAL FS'!C43,0)</f>
        <v>1</v>
      </c>
      <c r="D21" s="7">
        <f>IFERROR('HISTORICAL FS'!D43,0)</f>
        <v>0.99388147795818649</v>
      </c>
      <c r="E21" s="7">
        <f>IFERROR('HISTORICAL FS'!E43,0)</f>
        <v>1</v>
      </c>
      <c r="F21" s="7">
        <f>IFERROR('HISTORICAL FS'!F43,0)</f>
        <v>1</v>
      </c>
      <c r="G21" s="7">
        <f>IFERROR('HISTORICAL FS'!G43,0)</f>
        <v>0</v>
      </c>
      <c r="H21" s="7">
        <f>IFERROR('HISTORICAL FS'!H43,0)</f>
        <v>0</v>
      </c>
      <c r="I21" s="7">
        <f>IFERROR('HISTORICAL FS'!I43,0)</f>
        <v>0</v>
      </c>
      <c r="J21" s="7">
        <f>IFERROR('HISTORICAL FS'!J43,0)</f>
        <v>0</v>
      </c>
      <c r="K21" s="7">
        <f>IFERROR('HISTORICAL FS'!K43,0)</f>
        <v>0.71522043816243908</v>
      </c>
      <c r="L21" s="7">
        <f>IFERROR('HISTORICAL FS'!L43,0)</f>
        <v>0.92770402508901417</v>
      </c>
      <c r="N21" s="7">
        <f t="shared" si="2"/>
        <v>0.56368059412096394</v>
      </c>
      <c r="O21" s="7">
        <f t="shared" ref="O21:O22" si="7">IFERROR(MEDIAN(C21:L21),0)</f>
        <v>0.82146223162572662</v>
      </c>
    </row>
    <row r="22" spans="2:15">
      <c r="B22" s="10" t="s">
        <v>142</v>
      </c>
      <c r="C22" s="7">
        <f>IFERROR('HISTORICAL FS'!C32/SUM('HISTORICAL FS'!C46:C47),0)</f>
        <v>0.24989637751431168</v>
      </c>
      <c r="D22" s="7">
        <f>IFERROR('HISTORICAL FS'!D32/SUM('HISTORICAL FS'!D46:D47),0)</f>
        <v>0.14060014127497822</v>
      </c>
      <c r="E22" s="7">
        <f>IFERROR('HISTORICAL FS'!E32/SUM('HISTORICAL FS'!E46:E47),0)</f>
        <v>0.10443270103677303</v>
      </c>
      <c r="F22" s="7">
        <f>IFERROR('HISTORICAL FS'!F32/SUM('HISTORICAL FS'!F46:F47),0)</f>
        <v>7.1395255329389479E-2</v>
      </c>
      <c r="G22" s="7">
        <f>IFERROR('HISTORICAL FS'!G32/SUM('HISTORICAL FS'!G46:G47),0)</f>
        <v>-0.48078949065097853</v>
      </c>
      <c r="H22" s="7">
        <f>IFERROR('HISTORICAL FS'!H32/SUM('HISTORICAL FS'!H46:H47),0)</f>
        <v>-0.17399311619975924</v>
      </c>
      <c r="I22" s="7">
        <f>IFERROR('HISTORICAL FS'!I32/SUM('HISTORICAL FS'!I46:I47),0)</f>
        <v>-0.23560023110874276</v>
      </c>
      <c r="J22" s="7">
        <f>IFERROR('HISTORICAL FS'!J32/SUM('HISTORICAL FS'!J46:J47),0)</f>
        <v>-0.25211820855972594</v>
      </c>
      <c r="K22" s="7">
        <f>IFERROR('HISTORICAL FS'!K32/SUM('HISTORICAL FS'!K46:K47),0)</f>
        <v>5.9350480199480214E-2</v>
      </c>
      <c r="L22" s="7">
        <f>IFERROR('HISTORICAL FS'!L32/SUM('HISTORICAL FS'!L46:L47),0)</f>
        <v>0.37455830929642492</v>
      </c>
      <c r="N22" s="7">
        <f t="shared" si="2"/>
        <v>-1.4226778186784889E-2</v>
      </c>
      <c r="O22" s="7">
        <f t="shared" si="7"/>
        <v>6.537286776443485E-2</v>
      </c>
    </row>
    <row r="23" spans="2:15">
      <c r="B23" s="10" t="s">
        <v>143</v>
      </c>
      <c r="C23" s="7">
        <f>IFERROR(C21*C22,0)</f>
        <v>0.24989637751431168</v>
      </c>
      <c r="D23" s="7">
        <f t="shared" ref="D23:L23" si="8">IFERROR(D21*D22,0)</f>
        <v>0.13973987621150516</v>
      </c>
      <c r="E23" s="7">
        <f t="shared" si="8"/>
        <v>0.10443270103677303</v>
      </c>
      <c r="F23" s="7">
        <f t="shared" si="8"/>
        <v>7.1395255329389479E-2</v>
      </c>
      <c r="G23" s="7">
        <f t="shared" si="8"/>
        <v>0</v>
      </c>
      <c r="H23" s="7">
        <f t="shared" si="8"/>
        <v>0</v>
      </c>
      <c r="I23" s="7">
        <f t="shared" si="8"/>
        <v>0</v>
      </c>
      <c r="J23" s="7">
        <f t="shared" si="8"/>
        <v>0</v>
      </c>
      <c r="K23" s="7">
        <f t="shared" si="8"/>
        <v>4.2448676453423401E-2</v>
      </c>
      <c r="L23" s="7">
        <f t="shared" si="8"/>
        <v>0.34747925116482931</v>
      </c>
      <c r="N23" s="7">
        <f t="shared" si="2"/>
        <v>9.5539213771023215E-2</v>
      </c>
      <c r="O23" s="7">
        <f t="shared" ref="O23" si="9">IFERROR(MEDIAN(C23:L23),0)</f>
        <v>5.692196589140644E-2</v>
      </c>
    </row>
    <row r="24" spans="2:15">
      <c r="B24" s="10" t="s">
        <v>144</v>
      </c>
      <c r="C24" s="44">
        <f>IFERROR(('HISTORICAL FS'!C17-'HISTORICAL FS'!C23)/'HISTORICAL FS'!C20,0)</f>
        <v>5.3173039541375138</v>
      </c>
      <c r="D24" s="44">
        <f>IFERROR(('HISTORICAL FS'!D17-'HISTORICAL FS'!D23)/'HISTORICAL FS'!D20,0)</f>
        <v>4.4352863933500721</v>
      </c>
      <c r="E24" s="44">
        <f>IFERROR(('HISTORICAL FS'!E17-'HISTORICAL FS'!E23)/'HISTORICAL FS'!E20,0)</f>
        <v>2.7568835373205922</v>
      </c>
      <c r="F24" s="44">
        <f>IFERROR(('HISTORICAL FS'!F17-'HISTORICAL FS'!F23)/'HISTORICAL FS'!F20,0)</f>
        <v>2.1154494328024094</v>
      </c>
      <c r="G24" s="44">
        <f>IFERROR(('HISTORICAL FS'!G17-'HISTORICAL FS'!G23)/'HISTORICAL FS'!G20,0)</f>
        <v>0.18645156808947008</v>
      </c>
      <c r="H24" s="44">
        <f>IFERROR(('HISTORICAL FS'!H17-'HISTORICAL FS'!H23)/'HISTORICAL FS'!H20,0)</f>
        <v>-0.47469326953211261</v>
      </c>
      <c r="I24" s="44">
        <f>IFERROR(('HISTORICAL FS'!I17-'HISTORICAL FS'!I23)/'HISTORICAL FS'!I20,0)</f>
        <v>1.079478385658198</v>
      </c>
      <c r="J24" s="44">
        <f>IFERROR(('HISTORICAL FS'!J17-'HISTORICAL FS'!J23)/'HISTORICAL FS'!J20,0)</f>
        <v>-1.2414275987824557E-2</v>
      </c>
      <c r="K24" s="44">
        <f>IFERROR(('HISTORICAL FS'!K17-'HISTORICAL FS'!K23)/'HISTORICAL FS'!K20,0)</f>
        <v>0.68020669934320532</v>
      </c>
      <c r="L24" s="44">
        <f>IFERROR(('HISTORICAL FS'!L17-'HISTORICAL FS'!L23)/'HISTORICAL FS'!L20,0)</f>
        <v>3.231422545705088</v>
      </c>
      <c r="N24" s="44">
        <f>IFERROR(AVERAGE(C24:L24),0)</f>
        <v>1.9315374970886612</v>
      </c>
      <c r="O24" s="44">
        <f>IFERROR(MEDIAN(C24:L24),0)</f>
        <v>1.5974639092303038</v>
      </c>
    </row>
    <row r="25" spans="2:15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N25" s="7"/>
    </row>
    <row r="26" spans="2:15">
      <c r="B26" s="10" t="s">
        <v>145</v>
      </c>
      <c r="C26" s="44">
        <f>IFERROR('HISTORICAL FS'!C5/'HISTORICAL FS'!C58,0)</f>
        <v>20.92016821419486</v>
      </c>
      <c r="D26" s="44">
        <f>IFERROR('HISTORICAL FS'!D5/'HISTORICAL FS'!D58,0)</f>
        <v>20.119918266350599</v>
      </c>
      <c r="E26" s="44">
        <f>IFERROR('HISTORICAL FS'!E5/'HISTORICAL FS'!E58,0)</f>
        <v>19.160353236640844</v>
      </c>
      <c r="F26" s="44">
        <f>IFERROR('HISTORICAL FS'!F5/'HISTORICAL FS'!F58,0)</f>
        <v>14.655712224718874</v>
      </c>
      <c r="G26" s="44">
        <f>IFERROR('HISTORICAL FS'!G5/'HISTORICAL FS'!G58,0)</f>
        <v>15.894698773489607</v>
      </c>
      <c r="H26" s="44">
        <f>IFERROR('HISTORICAL FS'!H5/'HISTORICAL FS'!H58,0)</f>
        <v>23.366617170976728</v>
      </c>
      <c r="I26" s="44">
        <f>IFERROR('HISTORICAL FS'!I5/'HISTORICAL FS'!I58,0)</f>
        <v>19.701330853658153</v>
      </c>
      <c r="J26" s="44">
        <f>IFERROR('HISTORICAL FS'!J5/'HISTORICAL FS'!J58,0)</f>
        <v>22.379917570317598</v>
      </c>
      <c r="K26" s="44">
        <f>IFERROR('HISTORICAL FS'!K5/'HISTORICAL FS'!K58,0)</f>
        <v>21.982947610142858</v>
      </c>
      <c r="L26" s="44">
        <f>IFERROR('HISTORICAL FS'!L5/'HISTORICAL FS'!L58,0)</f>
        <v>25.833687966063799</v>
      </c>
      <c r="N26" s="44">
        <f>IFERROR(AVERAGE(C26:L26),0)</f>
        <v>20.401535188655391</v>
      </c>
      <c r="O26" s="44">
        <f>IFERROR(MEDIAN(C26:L26),0)</f>
        <v>20.520043240272727</v>
      </c>
    </row>
    <row r="27" spans="2:15">
      <c r="B27" s="10" t="s">
        <v>146</v>
      </c>
      <c r="C27" s="44">
        <f>IFERROR('HISTORICAL FS'!C5/'HISTORICAL FS'!C49,0)</f>
        <v>2.4493010585757142</v>
      </c>
      <c r="D27" s="44">
        <f>IFERROR('HISTORICAL FS'!D5/'HISTORICAL FS'!D49,0)</f>
        <v>2.3769603927858673</v>
      </c>
      <c r="E27" s="44">
        <f>IFERROR('HISTORICAL FS'!E5/'HISTORICAL FS'!E49,0)</f>
        <v>1.9842807783040648</v>
      </c>
      <c r="F27" s="44">
        <f>IFERROR('HISTORICAL FS'!F5/'HISTORICAL FS'!F49,0)</f>
        <v>2.0414780318629697</v>
      </c>
      <c r="G27" s="44">
        <f>IFERROR('HISTORICAL FS'!G5/'HISTORICAL FS'!G49,0)</f>
        <v>2.1667847518227492</v>
      </c>
      <c r="H27" s="44">
        <f>IFERROR('HISTORICAL FS'!H5/'HISTORICAL FS'!H49,0)</f>
        <v>1.9731057108276859</v>
      </c>
      <c r="I27" s="44">
        <f>IFERROR('HISTORICAL FS'!I5/'HISTORICAL FS'!I49,0)</f>
        <v>1.7323684804395676</v>
      </c>
      <c r="J27" s="44">
        <f>IFERROR('HISTORICAL FS'!J5/'HISTORICAL FS'!J49,0)</f>
        <v>2.0170312149360217</v>
      </c>
      <c r="K27" s="44">
        <f>IFERROR('HISTORICAL FS'!K5/'HISTORICAL FS'!K49,0)</f>
        <v>2.2286057258733614</v>
      </c>
      <c r="L27" s="44">
        <f>IFERROR('HISTORICAL FS'!L5/'HISTORICAL FS'!L49,0)</f>
        <v>2.4694234112546125</v>
      </c>
      <c r="N27" s="44">
        <f t="shared" ref="N27:N30" si="10">IFERROR(AVERAGE(C27:L27),0)</f>
        <v>2.1439339556682615</v>
      </c>
      <c r="O27" s="44">
        <f t="shared" ref="O27:O30" si="11">IFERROR(MEDIAN(C27:L27),0)</f>
        <v>2.1041313918428592</v>
      </c>
    </row>
    <row r="28" spans="2:15">
      <c r="B28" s="10" t="s">
        <v>147</v>
      </c>
      <c r="C28" s="44">
        <f>IFERROR('HISTORICAL FS'!C5/'HISTORICAL FS'!C59,0)</f>
        <v>8.9900219797938927</v>
      </c>
      <c r="D28" s="44">
        <f>IFERROR('HISTORICAL FS'!D5/'HISTORICAL FS'!D59,0)</f>
        <v>8.3613381173839922</v>
      </c>
      <c r="E28" s="44">
        <f>IFERROR('HISTORICAL FS'!E5/'HISTORICAL FS'!E59,0)</f>
        <v>7.6867643466738649</v>
      </c>
      <c r="F28" s="44">
        <f>IFERROR('HISTORICAL FS'!F5/'HISTORICAL FS'!F59,0)</f>
        <v>6.9190051742350009</v>
      </c>
      <c r="G28" s="44">
        <f>IFERROR('HISTORICAL FS'!G5/'HISTORICAL FS'!G59,0)</f>
        <v>7.7392856309817084</v>
      </c>
      <c r="H28" s="44">
        <f>IFERROR('HISTORICAL FS'!H5/'HISTORICAL FS'!H59,0)</f>
        <v>6.9698269049637886</v>
      </c>
      <c r="I28" s="44">
        <f>IFERROR('HISTORICAL FS'!I5/'HISTORICAL FS'!I59,0)</f>
        <v>6.9217098811563442</v>
      </c>
      <c r="J28" s="44">
        <f>IFERROR('HISTORICAL FS'!J5/'HISTORICAL FS'!J59,0)</f>
        <v>7.9015588385356104</v>
      </c>
      <c r="K28" s="44">
        <f>IFERROR('HISTORICAL FS'!K5/'HISTORICAL FS'!K59,0)</f>
        <v>8.4888641723217457</v>
      </c>
      <c r="L28" s="44">
        <f>IFERROR('HISTORICAL FS'!L5/'HISTORICAL FS'!L59,0)</f>
        <v>9.1639137956181322</v>
      </c>
      <c r="N28" s="44">
        <f t="shared" si="10"/>
        <v>7.9142288841664072</v>
      </c>
      <c r="O28" s="44">
        <f t="shared" si="11"/>
        <v>7.8204222347586594</v>
      </c>
    </row>
    <row r="29" spans="2:15">
      <c r="B29" s="10" t="s">
        <v>148</v>
      </c>
      <c r="C29" s="44">
        <f>IFERROR('HISTORICAL FS'!C5/'HISTORICAL FS'!C52,0)</f>
        <v>2.9742370802544178</v>
      </c>
      <c r="D29" s="44">
        <f>IFERROR('HISTORICAL FS'!D5/'HISTORICAL FS'!D52,0)</f>
        <v>2.546312771514708</v>
      </c>
      <c r="E29" s="44">
        <f>IFERROR('HISTORICAL FS'!E5/'HISTORICAL FS'!E52,0)</f>
        <v>2.8109343484246239</v>
      </c>
      <c r="F29" s="44">
        <f>IFERROR('HISTORICAL FS'!F5/'HISTORICAL FS'!F52,0)</f>
        <v>2.4012948768781421</v>
      </c>
      <c r="G29" s="44">
        <f>IFERROR('HISTORICAL FS'!G5/'HISTORICAL FS'!G52,0)</f>
        <v>2.7144319562092578</v>
      </c>
      <c r="H29" s="44">
        <f>IFERROR('HISTORICAL FS'!H5/'HISTORICAL FS'!H52,0)</f>
        <v>2.0539205744067566</v>
      </c>
      <c r="I29" s="44">
        <f>IFERROR('HISTORICAL FS'!I5/'HISTORICAL FS'!I52,0)</f>
        <v>1.8008727134726064</v>
      </c>
      <c r="J29" s="44">
        <f>IFERROR('HISTORICAL FS'!J5/'HISTORICAL FS'!J52,0)</f>
        <v>2.0053488717943728</v>
      </c>
      <c r="K29" s="44">
        <f>IFERROR('HISTORICAL FS'!K5/'HISTORICAL FS'!K52,0)</f>
        <v>2.6193791539294131</v>
      </c>
      <c r="L29" s="44">
        <f>IFERROR('HISTORICAL FS'!L5/'HISTORICAL FS'!L52,0)</f>
        <v>3.6107194547475023</v>
      </c>
      <c r="N29" s="44">
        <f t="shared" si="10"/>
        <v>2.5537451801631801</v>
      </c>
      <c r="O29" s="44">
        <f t="shared" si="11"/>
        <v>2.5828459627220606</v>
      </c>
    </row>
    <row r="30" spans="2:15">
      <c r="B30" s="10" t="s">
        <v>149</v>
      </c>
      <c r="C30" s="44">
        <f>IFERROR('HISTORICAL FS'!C5/SUM('HISTORICAL FS'!C46:C47),0)</f>
        <v>4.6773906756114965</v>
      </c>
      <c r="D30" s="44">
        <f>IFERROR('HISTORICAL FS'!D5/SUM('HISTORICAL FS'!D46:D47),0)</f>
        <v>3.4583567493379874</v>
      </c>
      <c r="E30" s="44">
        <f>IFERROR('HISTORICAL FS'!E5/SUM('HISTORICAL FS'!E46:E47),0)</f>
        <v>4.6449144180459854</v>
      </c>
      <c r="F30" s="44">
        <f>IFERROR('HISTORICAL FS'!F5/SUM('HISTORICAL FS'!F46:F47),0)</f>
        <v>3.0551908765475422</v>
      </c>
      <c r="G30" s="44">
        <f>IFERROR('HISTORICAL FS'!G5/SUM('HISTORICAL FS'!G46:G47),0)</f>
        <v>5.0172915853821474</v>
      </c>
      <c r="H30" s="44">
        <f>IFERROR('HISTORICAL FS'!H5/SUM('HISTORICAL FS'!H46:H47),0)</f>
        <v>4.1387770133514525</v>
      </c>
      <c r="I30" s="44">
        <f>IFERROR('HISTORICAL FS'!I5/SUM('HISTORICAL FS'!I46:I47),0)</f>
        <v>4.5214403678625628</v>
      </c>
      <c r="J30" s="44">
        <f>IFERROR('HISTORICAL FS'!J5/SUM('HISTORICAL FS'!J46:J47),0)</f>
        <v>6.2487852671963351</v>
      </c>
      <c r="K30" s="44">
        <f>IFERROR('HISTORICAL FS'!K5/SUM('HISTORICAL FS'!K46:K47),0)</f>
        <v>7.6335680916398054</v>
      </c>
      <c r="L30" s="44">
        <f>IFERROR('HISTORICAL FS'!L5/SUM('HISTORICAL FS'!L46:L47),0)</f>
        <v>5.1570652495194773</v>
      </c>
      <c r="N30" s="44">
        <f t="shared" si="10"/>
        <v>4.8552780294494795</v>
      </c>
      <c r="O30" s="44">
        <f t="shared" si="11"/>
        <v>4.6611525468287409</v>
      </c>
    </row>
    <row r="31" spans="2:15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N31" s="7"/>
    </row>
    <row r="32" spans="2:15">
      <c r="B32" s="10" t="s">
        <v>150</v>
      </c>
      <c r="C32" s="45">
        <f>IFERROR(365/C26,0)</f>
        <v>17.447278447423685</v>
      </c>
      <c r="D32" s="45">
        <f t="shared" ref="D32:L32" si="12">IFERROR(365/D26,0)</f>
        <v>18.141226776772818</v>
      </c>
      <c r="E32" s="45">
        <f t="shared" si="12"/>
        <v>19.049753180019717</v>
      </c>
      <c r="F32" s="45">
        <f t="shared" si="12"/>
        <v>24.904964999543136</v>
      </c>
      <c r="G32" s="45">
        <f t="shared" si="12"/>
        <v>22.963631157878556</v>
      </c>
      <c r="H32" s="45">
        <f t="shared" si="12"/>
        <v>15.620575170519771</v>
      </c>
      <c r="I32" s="45">
        <f t="shared" si="12"/>
        <v>18.52666719376608</v>
      </c>
      <c r="J32" s="45">
        <f t="shared" si="12"/>
        <v>16.309264717046954</v>
      </c>
      <c r="K32" s="45">
        <f t="shared" si="12"/>
        <v>16.603778823163378</v>
      </c>
      <c r="L32" s="45">
        <f t="shared" si="12"/>
        <v>14.128838301348189</v>
      </c>
      <c r="N32" s="45">
        <f t="shared" si="2"/>
        <v>18.369597876748227</v>
      </c>
      <c r="O32" s="45">
        <f>IFERROR(MEDIAN(C32:L32),0)</f>
        <v>17.794252612098251</v>
      </c>
    </row>
    <row r="33" spans="2:15">
      <c r="B33" s="10" t="s">
        <v>151</v>
      </c>
      <c r="C33" s="45">
        <f>IFERROR(365/C27,0)</f>
        <v>149.02210519283818</v>
      </c>
      <c r="D33" s="45">
        <f t="shared" ref="D33:L33" si="13">IFERROR(365/D27,0)</f>
        <v>153.55745981623585</v>
      </c>
      <c r="E33" s="45">
        <f t="shared" si="13"/>
        <v>183.94574194885871</v>
      </c>
      <c r="F33" s="45">
        <f t="shared" si="13"/>
        <v>178.79202925682029</v>
      </c>
      <c r="G33" s="45">
        <f t="shared" si="13"/>
        <v>168.45235766633192</v>
      </c>
      <c r="H33" s="45">
        <f t="shared" si="13"/>
        <v>184.98755439052903</v>
      </c>
      <c r="I33" s="45">
        <f t="shared" si="13"/>
        <v>210.69420514242194</v>
      </c>
      <c r="J33" s="45">
        <f t="shared" si="13"/>
        <v>180.95902398395825</v>
      </c>
      <c r="K33" s="45">
        <f t="shared" si="13"/>
        <v>163.77953074537726</v>
      </c>
      <c r="L33" s="45">
        <f t="shared" si="13"/>
        <v>147.8077831191203</v>
      </c>
      <c r="N33" s="45">
        <f t="shared" si="2"/>
        <v>172.19977912624921</v>
      </c>
      <c r="O33" s="45">
        <f t="shared" ref="O33:O35" si="14">IFERROR(MEDIAN(C33:L33),0)</f>
        <v>173.6221934615761</v>
      </c>
    </row>
    <row r="34" spans="2:15">
      <c r="B34" s="10" t="s">
        <v>152</v>
      </c>
      <c r="C34" s="45">
        <f t="shared" ref="C34:L34" si="15">IFERROR(365/C28,0)</f>
        <v>40.600568143256986</v>
      </c>
      <c r="D34" s="45">
        <f t="shared" si="15"/>
        <v>43.653299851746382</v>
      </c>
      <c r="E34" s="45">
        <f t="shared" si="15"/>
        <v>47.484218786795374</v>
      </c>
      <c r="F34" s="45">
        <f t="shared" si="15"/>
        <v>52.753248596949661</v>
      </c>
      <c r="G34" s="45">
        <f t="shared" si="15"/>
        <v>47.161975588398164</v>
      </c>
      <c r="H34" s="45">
        <f t="shared" si="15"/>
        <v>52.368588915752468</v>
      </c>
      <c r="I34" s="45">
        <f t="shared" si="15"/>
        <v>52.732634893247351</v>
      </c>
      <c r="J34" s="45">
        <f t="shared" si="15"/>
        <v>46.193416698982041</v>
      </c>
      <c r="K34" s="45">
        <f t="shared" si="15"/>
        <v>42.997507392107408</v>
      </c>
      <c r="L34" s="45">
        <f t="shared" si="15"/>
        <v>39.830143336194453</v>
      </c>
      <c r="N34" s="45">
        <f t="shared" si="2"/>
        <v>46.577560220343024</v>
      </c>
      <c r="O34" s="45">
        <f t="shared" si="14"/>
        <v>46.677696143690099</v>
      </c>
    </row>
    <row r="35" spans="2:15">
      <c r="B35" s="10" t="s">
        <v>153</v>
      </c>
      <c r="C35" s="45">
        <f>SUM(C32,C34)-C33</f>
        <v>-90.974258602157505</v>
      </c>
      <c r="D35" s="45">
        <f t="shared" ref="D35:L35" si="16">SUM(D32,D34)-D33</f>
        <v>-91.762933187716641</v>
      </c>
      <c r="E35" s="45">
        <f t="shared" si="16"/>
        <v>-117.41176998204362</v>
      </c>
      <c r="F35" s="45">
        <f t="shared" si="16"/>
        <v>-101.13381566032749</v>
      </c>
      <c r="G35" s="45">
        <f t="shared" si="16"/>
        <v>-98.326750920055204</v>
      </c>
      <c r="H35" s="45">
        <f t="shared" si="16"/>
        <v>-116.99839030425679</v>
      </c>
      <c r="I35" s="45">
        <f t="shared" si="16"/>
        <v>-139.43490305540851</v>
      </c>
      <c r="J35" s="45">
        <f t="shared" si="16"/>
        <v>-118.45634256792925</v>
      </c>
      <c r="K35" s="45">
        <f t="shared" si="16"/>
        <v>-104.17824453010647</v>
      </c>
      <c r="L35" s="45">
        <f t="shared" si="16"/>
        <v>-93.848801481577652</v>
      </c>
      <c r="N35" s="45">
        <f t="shared" si="2"/>
        <v>-107.25262102915789</v>
      </c>
      <c r="O35" s="45">
        <f t="shared" si="14"/>
        <v>-102.65603009521698</v>
      </c>
    </row>
    <row r="36" spans="2:15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N36" s="7"/>
    </row>
    <row r="37" spans="2:15">
      <c r="B37" s="10" t="s">
        <v>154</v>
      </c>
      <c r="C37" s="7">
        <f>IFERROR('HISTORICAL FS'!C78/'HISTORICAL FS'!C5,0)</f>
        <v>0.13502104317321797</v>
      </c>
      <c r="D37" s="7">
        <f>IFERROR('HISTORICAL FS'!D78/'HISTORICAL FS'!D5,0)</f>
        <v>0.13880099148274136</v>
      </c>
      <c r="E37" s="7">
        <f>IFERROR('HISTORICAL FS'!E78/'HISTORICAL FS'!E5,0)</f>
        <v>0.11197937977587882</v>
      </c>
      <c r="F37" s="7">
        <f>IFERROR('HISTORICAL FS'!F78/'HISTORICAL FS'!F5,0)</f>
        <v>8.1828025115925046E-2</v>
      </c>
      <c r="G37" s="7">
        <f>IFERROR('HISTORICAL FS'!G78/'HISTORICAL FS'!G5,0)</f>
        <v>6.2569053820249423E-2</v>
      </c>
      <c r="H37" s="7">
        <f>IFERROR('HISTORICAL FS'!H78/'HISTORICAL FS'!H5,0)</f>
        <v>0.10201557854837573</v>
      </c>
      <c r="I37" s="7">
        <f>IFERROR('HISTORICAL FS'!I78/'HISTORICAL FS'!I5,0)</f>
        <v>0.11609531425300171</v>
      </c>
      <c r="J37" s="7">
        <f>IFERROR('HISTORICAL FS'!J78/'HISTORICAL FS'!J5,0)</f>
        <v>5.1290408794110849E-2</v>
      </c>
      <c r="K37" s="7">
        <f>IFERROR('HISTORICAL FS'!K78/'HISTORICAL FS'!K5,0)</f>
        <v>0.10228722123386519</v>
      </c>
      <c r="L37" s="7">
        <f>IFERROR('HISTORICAL FS'!L78/'HISTORICAL FS'!L5,0)</f>
        <v>0.1550849355819568</v>
      </c>
      <c r="N37" s="7">
        <f t="shared" si="2"/>
        <v>0.10569719517793227</v>
      </c>
      <c r="O37" s="47">
        <f>IFERROR(MEDIAN(C37:L37),0)</f>
        <v>0.10713330050487201</v>
      </c>
    </row>
    <row r="38" spans="2:15">
      <c r="B38" s="10" t="s">
        <v>155</v>
      </c>
      <c r="C38" s="7">
        <f>IFERROR('HISTORICAL FS'!C78/'HISTORICAL FS'!C63,0)</f>
        <v>0.14972518147731123</v>
      </c>
      <c r="D38" s="7">
        <f>IFERROR('HISTORICAL FS'!D78/'HISTORICAL FS'!D63,0)</f>
        <v>0.14400184935170102</v>
      </c>
      <c r="E38" s="7">
        <f>IFERROR('HISTORICAL FS'!E78/'HISTORICAL FS'!E63,0)</f>
        <v>0.11079301531482313</v>
      </c>
      <c r="F38" s="7">
        <f>IFERROR('HISTORICAL FS'!F78/'HISTORICAL FS'!F63,0)</f>
        <v>7.291441677589669E-2</v>
      </c>
      <c r="G38" s="7">
        <f>IFERROR('HISTORICAL FS'!G78/'HISTORICAL FS'!G63,0)</f>
        <v>6.1798443975893111E-2</v>
      </c>
      <c r="H38" s="7">
        <f>IFERROR('HISTORICAL FS'!H78/'HISTORICAL FS'!H63,0)</f>
        <v>8.3181493974362308E-2</v>
      </c>
      <c r="I38" s="7">
        <f>IFERROR('HISTORICAL FS'!I78/'HISTORICAL FS'!I63,0)</f>
        <v>8.4902092224692749E-2</v>
      </c>
      <c r="J38" s="7">
        <f>IFERROR('HISTORICAL FS'!J78/'HISTORICAL FS'!J63,0)</f>
        <v>4.3402222484314405E-2</v>
      </c>
      <c r="K38" s="7">
        <f>IFERROR('HISTORICAL FS'!K78/'HISTORICAL FS'!K63,0)</f>
        <v>0.10573858301633621</v>
      </c>
      <c r="L38" s="7">
        <f>IFERROR('HISTORICAL FS'!L78/'HISTORICAL FS'!L63,0)</f>
        <v>0.18379489035807772</v>
      </c>
      <c r="N38" s="7">
        <f t="shared" si="2"/>
        <v>0.10402521889534086</v>
      </c>
      <c r="O38" s="47">
        <f t="shared" ref="O38:O39" si="17">IFERROR(MEDIAN(C38:L38),0)</f>
        <v>9.5320337620514478E-2</v>
      </c>
    </row>
    <row r="39" spans="2:15">
      <c r="B39" s="10" t="s">
        <v>156</v>
      </c>
      <c r="C39" s="7">
        <f>IFERROR('HISTORICAL FS'!C78/'HISTORICAL FS'!C48,0)</f>
        <v>0.48270359659825196</v>
      </c>
      <c r="D39" s="7">
        <f>IFERROR('HISTORICAL FS'!D78/'HISTORICAL FS'!D48,0)</f>
        <v>0.54641034971761804</v>
      </c>
      <c r="E39" s="7">
        <f>IFERROR('HISTORICAL FS'!E78/'HISTORICAL FS'!E48,0)</f>
        <v>0.38420446394699098</v>
      </c>
      <c r="F39" s="7">
        <f>IFERROR('HISTORICAL FS'!F78/'HISTORICAL FS'!F48,0)</f>
        <v>0.2682054406233042</v>
      </c>
      <c r="G39" s="7">
        <f>IFERROR('HISTORICAL FS'!G78/'HISTORICAL FS'!G48,0)</f>
        <v>0.17793208856218404</v>
      </c>
      <c r="H39" s="7">
        <f>IFERROR('HISTORICAL FS'!H78/'HISTORICAL FS'!H48,0)</f>
        <v>0.21342658615869328</v>
      </c>
      <c r="I39" s="7">
        <f>IFERROR('HISTORICAL FS'!I78/'HISTORICAL FS'!I48,0)</f>
        <v>0.20403773797572189</v>
      </c>
      <c r="J39" s="7">
        <f>IFERROR('HISTORICAL FS'!J78/'HISTORICAL FS'!J48,0)</f>
        <v>9.7521984269885564E-2</v>
      </c>
      <c r="K39" s="7">
        <f>IFERROR('HISTORICAL FS'!K78/'HISTORICAL FS'!K48,0)</f>
        <v>0.26386617180202071</v>
      </c>
      <c r="L39" s="7">
        <f>IFERROR('HISTORICAL FS'!L78/'HISTORICAL FS'!L48,0)</f>
        <v>0.63317562055704468</v>
      </c>
      <c r="N39" s="7">
        <f t="shared" si="2"/>
        <v>0.32714840402117157</v>
      </c>
      <c r="O39" s="47">
        <f t="shared" si="17"/>
        <v>0.26603580621266243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F5F93DA-CC2B-4A0B-B14F-2C6C2096AF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 '!C10:L10</xm:f>
              <xm:sqref>M10</xm:sqref>
            </x14:sparkline>
            <x14:sparkline>
              <xm:f>'RATIO ANALYSIS '!C11:L11</xm:f>
              <xm:sqref>M11</xm:sqref>
            </x14:sparkline>
            <x14:sparkline>
              <xm:f>'RATIO ANALYSIS '!C12:L12</xm:f>
              <xm:sqref>M12</xm:sqref>
            </x14:sparkline>
            <x14:sparkline>
              <xm:f>'RATIO ANALYSIS '!C13:L13</xm:f>
              <xm:sqref>M13</xm:sqref>
            </x14:sparkline>
            <x14:sparkline>
              <xm:f>'RATIO ANALYSIS '!C14:L14</xm:f>
              <xm:sqref>M14</xm:sqref>
            </x14:sparkline>
            <x14:sparkline>
              <xm:f>'RATIO ANALYSIS '!C15:L15</xm:f>
              <xm:sqref>M15</xm:sqref>
            </x14:sparkline>
            <x14:sparkline>
              <xm:f>'RATIO ANALYSIS '!C16:L16</xm:f>
              <xm:sqref>M16</xm:sqref>
            </x14:sparkline>
            <x14:sparkline>
              <xm:f>'RATIO ANALYSIS '!C17:L17</xm:f>
              <xm:sqref>M17</xm:sqref>
            </x14:sparkline>
            <x14:sparkline>
              <xm:f>'RATIO ANALYSIS '!C18:L18</xm:f>
              <xm:sqref>M18</xm:sqref>
            </x14:sparkline>
            <x14:sparkline>
              <xm:f>'RATIO ANALYSIS '!C19:L19</xm:f>
              <xm:sqref>M19</xm:sqref>
            </x14:sparkline>
            <x14:sparkline>
              <xm:f>'RATIO ANALYSIS '!C20:L20</xm:f>
              <xm:sqref>M20</xm:sqref>
            </x14:sparkline>
            <x14:sparkline>
              <xm:f>'RATIO ANALYSIS '!C21:L21</xm:f>
              <xm:sqref>M21</xm:sqref>
            </x14:sparkline>
            <x14:sparkline>
              <xm:f>'RATIO ANALYSIS '!C22:L22</xm:f>
              <xm:sqref>M22</xm:sqref>
            </x14:sparkline>
            <x14:sparkline>
              <xm:f>'RATIO ANALYSIS '!C23:L23</xm:f>
              <xm:sqref>M23</xm:sqref>
            </x14:sparkline>
            <x14:sparkline>
              <xm:f>'RATIO ANALYSIS '!C24:L24</xm:f>
              <xm:sqref>M24</xm:sqref>
            </x14:sparkline>
            <x14:sparkline>
              <xm:f>'RATIO ANALYSIS '!C25:L25</xm:f>
              <xm:sqref>M25</xm:sqref>
            </x14:sparkline>
            <x14:sparkline>
              <xm:f>'RATIO ANALYSIS '!C26:L26</xm:f>
              <xm:sqref>M26</xm:sqref>
            </x14:sparkline>
            <x14:sparkline>
              <xm:f>'RATIO ANALYSIS '!C27:L27</xm:f>
              <xm:sqref>M27</xm:sqref>
            </x14:sparkline>
            <x14:sparkline>
              <xm:f>'RATIO ANALYSIS '!C28:L28</xm:f>
              <xm:sqref>M28</xm:sqref>
            </x14:sparkline>
            <x14:sparkline>
              <xm:f>'RATIO ANALYSIS '!C29:L29</xm:f>
              <xm:sqref>M29</xm:sqref>
            </x14:sparkline>
            <x14:sparkline>
              <xm:f>'RATIO ANALYSIS '!C30:L30</xm:f>
              <xm:sqref>M30</xm:sqref>
            </x14:sparkline>
            <x14:sparkline>
              <xm:f>'RATIO ANALYSIS '!C31:L31</xm:f>
              <xm:sqref>M31</xm:sqref>
            </x14:sparkline>
            <x14:sparkline>
              <xm:f>'RATIO ANALYSIS '!C32:L32</xm:f>
              <xm:sqref>M32</xm:sqref>
            </x14:sparkline>
            <x14:sparkline>
              <xm:f>'RATIO ANALYSIS '!C33:L33</xm:f>
              <xm:sqref>M33</xm:sqref>
            </x14:sparkline>
            <x14:sparkline>
              <xm:f>'RATIO ANALYSIS '!C34:L34</xm:f>
              <xm:sqref>M34</xm:sqref>
            </x14:sparkline>
            <x14:sparkline>
              <xm:f>'RATIO ANALYSIS '!C35:L35</xm:f>
              <xm:sqref>M35</xm:sqref>
            </x14:sparkline>
            <x14:sparkline>
              <xm:f>'RATIO ANALYSIS '!C36:L36</xm:f>
              <xm:sqref>M36</xm:sqref>
            </x14:sparkline>
            <x14:sparkline>
              <xm:f>'RATIO ANALYSIS '!C37:L37</xm:f>
              <xm:sqref>M37</xm:sqref>
            </x14:sparkline>
            <x14:sparkline>
              <xm:f>'RATIO ANALYSIS '!C38:L38</xm:f>
              <xm:sqref>M38</xm:sqref>
            </x14:sparkline>
            <x14:sparkline>
              <xm:f>'RATIO ANALYSIS '!C39:L39</xm:f>
              <xm:sqref>M39</xm:sqref>
            </x14:sparkline>
          </x14:sparklines>
        </x14:sparklineGroup>
        <x14:sparklineGroup displayEmptyCellsAs="gap" xr2:uid="{A39B0BF4-1C96-4FF9-9F89-6371784195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 '!C3:L3</xm:f>
              <xm:sqref>M3</xm:sqref>
            </x14:sparkline>
            <x14:sparkline>
              <xm:f>'RATIO ANALYSIS '!C4:L4</xm:f>
              <xm:sqref>M4</xm:sqref>
            </x14:sparkline>
            <x14:sparkline>
              <xm:f>'RATIO ANALYSIS '!C5:L5</xm:f>
              <xm:sqref>M5</xm:sqref>
            </x14:sparkline>
            <x14:sparkline>
              <xm:f>'RATIO ANALYSIS '!C6:L6</xm:f>
              <xm:sqref>M6</xm:sqref>
            </x14:sparkline>
            <x14:sparkline>
              <xm:f>'RATIO ANALYSIS '!C7:L7</xm:f>
              <xm:sqref>M7</xm:sqref>
            </x14:sparkline>
            <x14:sparkline>
              <xm:f>'RATIO ANALYSIS '!C8:L8</xm:f>
              <xm:sqref>M8</xm:sqref>
            </x14:sparkline>
            <x14:sparkline>
              <xm:f>'RATIO ANALYSIS '!C9:L9</xm:f>
              <xm:sqref>M9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53C-510C-42AE-AC37-13A30A5B240E}">
  <sheetPr>
    <tabColor rgb="FF0000CC"/>
  </sheetPr>
  <dimension ref="B3:J89"/>
  <sheetViews>
    <sheetView topLeftCell="A80" workbookViewId="0">
      <selection activeCell="H96" sqref="H96"/>
    </sheetView>
  </sheetViews>
  <sheetFormatPr defaultRowHeight="15"/>
  <sheetData>
    <row r="3" spans="2:10">
      <c r="D3" s="48">
        <v>2020</v>
      </c>
      <c r="E3" s="48">
        <v>2021</v>
      </c>
      <c r="F3" s="48">
        <v>2022</v>
      </c>
      <c r="G3" s="48">
        <v>2023</v>
      </c>
      <c r="H3" s="48">
        <v>2024</v>
      </c>
      <c r="I3" s="48">
        <v>2025</v>
      </c>
      <c r="J3" s="48">
        <v>2026</v>
      </c>
    </row>
    <row r="4" spans="2:10">
      <c r="B4" t="s">
        <v>159</v>
      </c>
    </row>
    <row r="5" spans="2:10">
      <c r="B5" s="49" t="s">
        <v>160</v>
      </c>
      <c r="C5" s="49"/>
      <c r="D5" s="50">
        <v>2020</v>
      </c>
      <c r="E5" s="50">
        <v>2021</v>
      </c>
      <c r="F5" s="51">
        <v>2022</v>
      </c>
      <c r="G5" s="51">
        <v>2023</v>
      </c>
      <c r="H5" s="51">
        <v>2024</v>
      </c>
      <c r="I5" s="51">
        <v>2025</v>
      </c>
      <c r="J5" s="51">
        <v>2026</v>
      </c>
    </row>
    <row r="7" spans="2:10">
      <c r="B7" s="52" t="str">
        <f>"Income Statement"&amp;"-" &amp; B4</f>
        <v>Income Statement-TATA STEELS</v>
      </c>
      <c r="C7" s="52"/>
      <c r="D7" s="52"/>
      <c r="E7" s="52"/>
      <c r="F7" s="52"/>
      <c r="G7" s="52"/>
      <c r="H7" s="52"/>
      <c r="I7" s="52"/>
      <c r="J7" s="52"/>
    </row>
    <row r="8" spans="2:10">
      <c r="B8" s="20" t="s">
        <v>161</v>
      </c>
      <c r="C8" s="20"/>
      <c r="D8" s="53">
        <v>20000</v>
      </c>
      <c r="E8" s="53">
        <v>22500</v>
      </c>
      <c r="F8" s="54">
        <f>E8*(1+F23)</f>
        <v>24750.000000000004</v>
      </c>
      <c r="G8" s="54">
        <f>F8*(1+G23)</f>
        <v>27225.000000000007</v>
      </c>
      <c r="H8" s="20">
        <f>G8*(1+H23)</f>
        <v>31308.750000000007</v>
      </c>
      <c r="I8" s="20">
        <f>H8*(1+I23)</f>
        <v>36005.062500000007</v>
      </c>
      <c r="J8" s="20">
        <f>I8*(1+J23)</f>
        <v>41405.821875000009</v>
      </c>
    </row>
    <row r="9" spans="2:10">
      <c r="B9" t="s">
        <v>60</v>
      </c>
      <c r="D9" s="55">
        <v>8000</v>
      </c>
      <c r="E9" s="55">
        <v>9000</v>
      </c>
      <c r="F9" s="56">
        <f>F8*F24</f>
        <v>9900.0000000000018</v>
      </c>
      <c r="G9">
        <f>G8*G24</f>
        <v>10890.000000000004</v>
      </c>
      <c r="H9">
        <f>H8*H24</f>
        <v>12523.500000000004</v>
      </c>
      <c r="I9">
        <f>I8*I24</f>
        <v>14402.025000000003</v>
      </c>
      <c r="J9">
        <f>J8*J24</f>
        <v>16562.328750000004</v>
      </c>
    </row>
    <row r="10" spans="2:10">
      <c r="B10" s="57" t="s">
        <v>162</v>
      </c>
      <c r="C10" s="57"/>
      <c r="D10" s="58">
        <f>D8-D9</f>
        <v>12000</v>
      </c>
      <c r="E10" s="58">
        <v>13500</v>
      </c>
      <c r="F10" s="59">
        <f>F8-F9</f>
        <v>14850.000000000002</v>
      </c>
      <c r="G10" s="59">
        <f>G8-G9</f>
        <v>16335.000000000004</v>
      </c>
      <c r="H10" s="57">
        <f>H8-H9</f>
        <v>18785.250000000004</v>
      </c>
      <c r="I10" s="57">
        <f>I8-I9</f>
        <v>21603.037500000006</v>
      </c>
      <c r="J10" s="57">
        <f>J8-J9</f>
        <v>24843.493125000005</v>
      </c>
    </row>
    <row r="11" spans="2:10">
      <c r="B11" t="s">
        <v>163</v>
      </c>
      <c r="D11" s="55">
        <v>2000</v>
      </c>
      <c r="E11" s="55">
        <v>2250</v>
      </c>
      <c r="F11" s="56">
        <f>F25</f>
        <v>2500</v>
      </c>
      <c r="G11" s="56">
        <f>F11</f>
        <v>2500</v>
      </c>
      <c r="H11" s="56">
        <f>G11</f>
        <v>2500</v>
      </c>
      <c r="I11" s="56">
        <f>H11</f>
        <v>2500</v>
      </c>
      <c r="J11" s="56">
        <f>I11</f>
        <v>2500</v>
      </c>
    </row>
    <row r="12" spans="2:10">
      <c r="B12" s="57" t="s">
        <v>65</v>
      </c>
      <c r="C12" s="57"/>
      <c r="D12" s="58">
        <f>D10-D11</f>
        <v>10000</v>
      </c>
      <c r="E12" s="58">
        <v>11250</v>
      </c>
      <c r="F12" s="59">
        <f>F10-F11</f>
        <v>12350.000000000002</v>
      </c>
      <c r="G12" s="59">
        <f>G10-G11</f>
        <v>13835.000000000004</v>
      </c>
      <c r="H12" s="59">
        <f>H10-H11</f>
        <v>16285.250000000004</v>
      </c>
      <c r="I12" s="59">
        <f>I10-I11</f>
        <v>19103.037500000006</v>
      </c>
      <c r="J12" s="59">
        <f>J10-J11</f>
        <v>22343.493125000005</v>
      </c>
    </row>
    <row r="13" spans="2:10">
      <c r="B13" t="s">
        <v>164</v>
      </c>
      <c r="D13" s="55">
        <v>800</v>
      </c>
      <c r="E13" s="55">
        <v>900</v>
      </c>
      <c r="F13" s="56">
        <f>F8*F26</f>
        <v>1237.5000000000002</v>
      </c>
      <c r="G13">
        <f>G8*G26</f>
        <v>1361.2500000000005</v>
      </c>
      <c r="H13">
        <f>H8*H26</f>
        <v>1565.4375000000005</v>
      </c>
      <c r="I13">
        <f>I8*I26</f>
        <v>1800.2531250000004</v>
      </c>
      <c r="J13">
        <f>J8*J26</f>
        <v>2070.2910937500005</v>
      </c>
    </row>
    <row r="14" spans="2:10">
      <c r="B14" t="s">
        <v>5</v>
      </c>
      <c r="D14" s="55">
        <v>200</v>
      </c>
      <c r="E14" s="55">
        <v>225</v>
      </c>
      <c r="F14" s="56">
        <f>F27</f>
        <v>250</v>
      </c>
      <c r="G14" s="56">
        <f>F14</f>
        <v>250</v>
      </c>
      <c r="H14" s="56">
        <f>G14</f>
        <v>250</v>
      </c>
      <c r="I14" s="56">
        <f>H14</f>
        <v>250</v>
      </c>
      <c r="J14" s="56">
        <f>I14</f>
        <v>250</v>
      </c>
    </row>
    <row r="15" spans="2:10">
      <c r="B15" s="57" t="s">
        <v>165</v>
      </c>
      <c r="C15" s="57"/>
      <c r="D15" s="60">
        <f>D12-SUM(D13:D14)</f>
        <v>9000</v>
      </c>
      <c r="E15" s="58">
        <v>10125</v>
      </c>
      <c r="F15" s="59">
        <f>F12-SUM(F13:F14)</f>
        <v>10862.500000000002</v>
      </c>
      <c r="G15" s="59">
        <f>G12-SUM(G13:G14)</f>
        <v>12223.750000000004</v>
      </c>
      <c r="H15" s="59">
        <f>H12-SUM(H13:H14)</f>
        <v>14469.812500000004</v>
      </c>
      <c r="I15" s="59">
        <f>I12-SUM(I13:I14)</f>
        <v>17052.784375000007</v>
      </c>
      <c r="J15" s="59">
        <f>J12-SUM(J13:J14)</f>
        <v>20023.202031250003</v>
      </c>
    </row>
    <row r="16" spans="2:10">
      <c r="B16" t="s">
        <v>166</v>
      </c>
      <c r="D16" s="55">
        <v>2700</v>
      </c>
      <c r="E16" s="55">
        <v>3038</v>
      </c>
      <c r="F16">
        <f>F15*F28</f>
        <v>3258.7500000000005</v>
      </c>
      <c r="G16">
        <f>G15*G28</f>
        <v>3667.1250000000009</v>
      </c>
      <c r="H16">
        <f>H15*H28</f>
        <v>4340.9437500000013</v>
      </c>
      <c r="I16">
        <f>I15*I28</f>
        <v>5115.8353125000021</v>
      </c>
      <c r="J16">
        <f>J15*J28</f>
        <v>6006.9606093750008</v>
      </c>
    </row>
    <row r="17" spans="2:10" ht="15.75" thickBot="1">
      <c r="B17" s="61" t="s">
        <v>167</v>
      </c>
      <c r="C17" s="61"/>
      <c r="D17" s="62">
        <f>D15-D16</f>
        <v>6300</v>
      </c>
      <c r="E17" s="62">
        <v>7088</v>
      </c>
      <c r="F17" s="63">
        <f>F15-F16</f>
        <v>7603.7500000000018</v>
      </c>
      <c r="G17" s="63">
        <f>G15-G16</f>
        <v>8556.6250000000036</v>
      </c>
      <c r="H17" s="63">
        <f>H15-H16</f>
        <v>10128.868750000001</v>
      </c>
      <c r="I17" s="63">
        <f>I15-I16</f>
        <v>11936.949062500003</v>
      </c>
      <c r="J17" s="63">
        <f>J15-J16</f>
        <v>14016.241421875002</v>
      </c>
    </row>
    <row r="18" spans="2:10" ht="15.75" thickTop="1"/>
    <row r="22" spans="2:10">
      <c r="B22" s="64" t="str">
        <f>"Assumption Drivers"&amp;"-"&amp;B4</f>
        <v>Assumption Drivers-TATA STEELS</v>
      </c>
      <c r="C22" s="65"/>
      <c r="D22" s="65"/>
      <c r="E22" s="65"/>
      <c r="F22" s="65"/>
      <c r="G22" s="65"/>
      <c r="H22" s="65"/>
      <c r="I22" s="65"/>
      <c r="J22" s="65"/>
    </row>
    <row r="23" spans="2:10">
      <c r="B23" t="s">
        <v>168</v>
      </c>
      <c r="D23" s="66" t="s">
        <v>169</v>
      </c>
      <c r="E23" s="67">
        <f>E8/D8-1</f>
        <v>0.125</v>
      </c>
      <c r="F23" s="68">
        <v>0.1</v>
      </c>
      <c r="G23" s="7">
        <f>F23</f>
        <v>0.1</v>
      </c>
      <c r="H23" s="7">
        <v>0.15</v>
      </c>
      <c r="I23" s="7">
        <f t="shared" ref="I23:J26" si="0">H23</f>
        <v>0.15</v>
      </c>
      <c r="J23" s="7">
        <f t="shared" si="0"/>
        <v>0.15</v>
      </c>
    </row>
    <row r="24" spans="2:10">
      <c r="B24" t="s">
        <v>170</v>
      </c>
      <c r="D24" s="69">
        <f>D9/D8</f>
        <v>0.4</v>
      </c>
      <c r="E24" s="69">
        <f>E9/E8</f>
        <v>0.4</v>
      </c>
      <c r="F24" s="68">
        <v>0.4</v>
      </c>
      <c r="G24" s="7">
        <f>F24</f>
        <v>0.4</v>
      </c>
      <c r="H24" s="7">
        <f>G24</f>
        <v>0.4</v>
      </c>
      <c r="I24" s="7">
        <f t="shared" si="0"/>
        <v>0.4</v>
      </c>
      <c r="J24" s="7">
        <f t="shared" si="0"/>
        <v>0.4</v>
      </c>
    </row>
    <row r="25" spans="2:10">
      <c r="B25" t="s">
        <v>171</v>
      </c>
      <c r="D25" s="70">
        <v>2000</v>
      </c>
      <c r="E25" s="71">
        <v>2250</v>
      </c>
      <c r="F25" s="72">
        <v>2500</v>
      </c>
      <c r="G25" s="73">
        <f>F25</f>
        <v>2500</v>
      </c>
      <c r="H25" s="74">
        <f>G25</f>
        <v>2500</v>
      </c>
      <c r="I25" s="74">
        <f t="shared" si="0"/>
        <v>2500</v>
      </c>
      <c r="J25" s="74">
        <f t="shared" si="0"/>
        <v>2500</v>
      </c>
    </row>
    <row r="26" spans="2:10">
      <c r="B26" t="s">
        <v>172</v>
      </c>
      <c r="D26" s="67">
        <f>D13/D8</f>
        <v>0.04</v>
      </c>
      <c r="E26" s="67">
        <f>E13/E8</f>
        <v>0.04</v>
      </c>
      <c r="F26" s="75">
        <v>0.05</v>
      </c>
      <c r="G26" s="76">
        <f>F26</f>
        <v>0.05</v>
      </c>
      <c r="H26" s="7">
        <f>G26</f>
        <v>0.05</v>
      </c>
      <c r="I26" s="7">
        <f t="shared" si="0"/>
        <v>0.05</v>
      </c>
      <c r="J26" s="7">
        <f t="shared" si="0"/>
        <v>0.05</v>
      </c>
    </row>
    <row r="27" spans="2:10">
      <c r="B27" t="s">
        <v>5</v>
      </c>
      <c r="D27" s="55">
        <v>200</v>
      </c>
      <c r="E27" s="55">
        <v>225</v>
      </c>
      <c r="F27" s="73">
        <v>250</v>
      </c>
      <c r="G27" s="74">
        <v>250</v>
      </c>
      <c r="H27" s="74">
        <v>250</v>
      </c>
      <c r="I27" s="74">
        <v>250</v>
      </c>
      <c r="J27" s="74">
        <v>250</v>
      </c>
    </row>
    <row r="28" spans="2:10">
      <c r="B28" t="s">
        <v>166</v>
      </c>
      <c r="D28" s="77">
        <v>0.3</v>
      </c>
      <c r="E28" s="77">
        <v>0.3</v>
      </c>
      <c r="F28" s="68">
        <v>0.3</v>
      </c>
      <c r="G28" s="7">
        <f>F28</f>
        <v>0.3</v>
      </c>
      <c r="H28" s="7">
        <f>G28</f>
        <v>0.3</v>
      </c>
      <c r="I28" s="7">
        <f>H28</f>
        <v>0.3</v>
      </c>
      <c r="J28" s="7">
        <f>I28</f>
        <v>0.3</v>
      </c>
    </row>
    <row r="33" spans="2:10">
      <c r="B33" s="52" t="str">
        <f>"Common Size Statement"&amp;"-"&amp;B4</f>
        <v>Common Size Statement-TATA STEELS</v>
      </c>
      <c r="C33" s="52"/>
      <c r="D33" s="52"/>
      <c r="E33" s="52"/>
      <c r="F33" s="52"/>
      <c r="G33" s="52"/>
      <c r="H33" s="52"/>
      <c r="I33" s="52"/>
      <c r="J33" s="52"/>
    </row>
    <row r="34" spans="2:10">
      <c r="B34" s="20" t="s">
        <v>161</v>
      </c>
      <c r="D34" s="67">
        <v>1</v>
      </c>
      <c r="E34" s="67">
        <f t="shared" ref="D34:J43" si="1">E8/E$9</f>
        <v>2.5</v>
      </c>
      <c r="F34" s="67">
        <f t="shared" si="1"/>
        <v>2.5</v>
      </c>
      <c r="G34" s="67">
        <f t="shared" si="1"/>
        <v>2.5</v>
      </c>
      <c r="H34" s="67">
        <f t="shared" si="1"/>
        <v>2.5</v>
      </c>
      <c r="I34" s="67">
        <f t="shared" si="1"/>
        <v>2.5</v>
      </c>
      <c r="J34" s="67">
        <f t="shared" si="1"/>
        <v>2.5</v>
      </c>
    </row>
    <row r="35" spans="2:10">
      <c r="B35" t="s">
        <v>60</v>
      </c>
      <c r="D35" s="67">
        <v>0.4</v>
      </c>
      <c r="E35" s="67">
        <f t="shared" si="1"/>
        <v>1</v>
      </c>
      <c r="F35" s="67">
        <f t="shared" si="1"/>
        <v>1</v>
      </c>
      <c r="G35" s="67">
        <f t="shared" si="1"/>
        <v>1</v>
      </c>
      <c r="H35" s="67">
        <f t="shared" si="1"/>
        <v>1</v>
      </c>
      <c r="I35" s="67">
        <f t="shared" si="1"/>
        <v>1</v>
      </c>
      <c r="J35" s="67">
        <f t="shared" si="1"/>
        <v>1</v>
      </c>
    </row>
    <row r="36" spans="2:10">
      <c r="B36" t="s">
        <v>162</v>
      </c>
      <c r="D36" s="67">
        <f t="shared" si="1"/>
        <v>1.5</v>
      </c>
      <c r="E36" s="67">
        <f t="shared" si="1"/>
        <v>1.5</v>
      </c>
      <c r="F36" s="67">
        <f t="shared" si="1"/>
        <v>1.5</v>
      </c>
      <c r="G36" s="67">
        <f t="shared" si="1"/>
        <v>1.4999999999999998</v>
      </c>
      <c r="H36" s="67">
        <f t="shared" si="1"/>
        <v>1.4999999999999998</v>
      </c>
      <c r="I36" s="67">
        <f t="shared" si="1"/>
        <v>1.5</v>
      </c>
      <c r="J36" s="67">
        <f t="shared" si="1"/>
        <v>1.5</v>
      </c>
    </row>
    <row r="37" spans="2:10">
      <c r="B37" t="s">
        <v>163</v>
      </c>
      <c r="D37" s="67">
        <f t="shared" si="1"/>
        <v>0.25</v>
      </c>
      <c r="E37" s="67">
        <f t="shared" si="1"/>
        <v>0.25</v>
      </c>
      <c r="F37" s="67">
        <f t="shared" si="1"/>
        <v>0.25252525252525249</v>
      </c>
      <c r="G37" s="67">
        <f t="shared" si="1"/>
        <v>0.22956841138659312</v>
      </c>
      <c r="H37" s="67">
        <f t="shared" si="1"/>
        <v>0.19962470555355924</v>
      </c>
      <c r="I37" s="67">
        <f t="shared" si="1"/>
        <v>0.17358670048135588</v>
      </c>
      <c r="J37" s="67">
        <f t="shared" si="1"/>
        <v>0.15094495694030946</v>
      </c>
    </row>
    <row r="38" spans="2:10">
      <c r="B38" t="s">
        <v>65</v>
      </c>
      <c r="D38" s="67">
        <f t="shared" si="1"/>
        <v>1.25</v>
      </c>
      <c r="E38" s="67">
        <f t="shared" si="1"/>
        <v>1.25</v>
      </c>
      <c r="F38" s="67">
        <f t="shared" si="1"/>
        <v>1.2474747474747474</v>
      </c>
      <c r="G38" s="67">
        <f t="shared" si="1"/>
        <v>1.2704315886134068</v>
      </c>
      <c r="H38" s="67">
        <f t="shared" si="1"/>
        <v>1.3003752944464406</v>
      </c>
      <c r="I38" s="67">
        <f t="shared" si="1"/>
        <v>1.3264132995186442</v>
      </c>
      <c r="J38" s="67">
        <f t="shared" si="1"/>
        <v>1.3490550430596904</v>
      </c>
    </row>
    <row r="39" spans="2:10">
      <c r="B39" t="s">
        <v>164</v>
      </c>
      <c r="D39" s="67">
        <f t="shared" si="1"/>
        <v>0.1</v>
      </c>
      <c r="E39" s="67">
        <f t="shared" si="1"/>
        <v>0.1</v>
      </c>
      <c r="F39" s="67">
        <f t="shared" si="1"/>
        <v>0.125</v>
      </c>
      <c r="G39" s="67">
        <f t="shared" si="1"/>
        <v>0.125</v>
      </c>
      <c r="H39" s="67">
        <f t="shared" si="1"/>
        <v>0.125</v>
      </c>
      <c r="I39" s="67">
        <f t="shared" si="1"/>
        <v>0.125</v>
      </c>
      <c r="J39" s="67">
        <f t="shared" si="1"/>
        <v>0.125</v>
      </c>
    </row>
    <row r="40" spans="2:10">
      <c r="B40" t="s">
        <v>5</v>
      </c>
      <c r="D40" s="67">
        <f t="shared" si="1"/>
        <v>2.5000000000000001E-2</v>
      </c>
      <c r="E40" s="67">
        <f t="shared" si="1"/>
        <v>2.5000000000000001E-2</v>
      </c>
      <c r="F40" s="67">
        <f t="shared" si="1"/>
        <v>2.5252525252525249E-2</v>
      </c>
      <c r="G40" s="67">
        <f t="shared" si="1"/>
        <v>2.2956841138659312E-2</v>
      </c>
      <c r="H40" s="67">
        <f t="shared" si="1"/>
        <v>1.9962470555355924E-2</v>
      </c>
      <c r="I40" s="67">
        <f t="shared" si="1"/>
        <v>1.7358670048135589E-2</v>
      </c>
      <c r="J40" s="67">
        <f t="shared" si="1"/>
        <v>1.5094495694030945E-2</v>
      </c>
    </row>
    <row r="41" spans="2:10">
      <c r="B41" t="s">
        <v>165</v>
      </c>
      <c r="D41" s="67">
        <f t="shared" si="1"/>
        <v>1.125</v>
      </c>
      <c r="E41" s="67">
        <f t="shared" si="1"/>
        <v>1.125</v>
      </c>
      <c r="F41" s="67">
        <f t="shared" si="1"/>
        <v>1.0972222222222221</v>
      </c>
      <c r="G41" s="67">
        <f t="shared" si="1"/>
        <v>1.1224747474747474</v>
      </c>
      <c r="H41" s="67">
        <f t="shared" si="1"/>
        <v>1.1554128238910848</v>
      </c>
      <c r="I41" s="67">
        <f t="shared" si="1"/>
        <v>1.1840546294705088</v>
      </c>
      <c r="J41" s="67">
        <f t="shared" si="1"/>
        <v>1.2089605473656595</v>
      </c>
    </row>
    <row r="42" spans="2:10">
      <c r="B42" t="s">
        <v>166</v>
      </c>
      <c r="D42" s="67">
        <f t="shared" si="1"/>
        <v>0.33750000000000002</v>
      </c>
      <c r="E42" s="67">
        <f t="shared" si="1"/>
        <v>0.33755555555555555</v>
      </c>
      <c r="F42" s="67">
        <f t="shared" si="1"/>
        <v>0.32916666666666666</v>
      </c>
      <c r="G42" s="67">
        <f t="shared" si="1"/>
        <v>0.33674242424242423</v>
      </c>
      <c r="H42" s="67">
        <f t="shared" si="1"/>
        <v>0.34662384716732542</v>
      </c>
      <c r="I42" s="67">
        <f t="shared" si="1"/>
        <v>0.35521638884115264</v>
      </c>
      <c r="J42" s="67">
        <f t="shared" si="1"/>
        <v>0.36268816420969779</v>
      </c>
    </row>
    <row r="43" spans="2:10" ht="15.75" thickBot="1">
      <c r="B43" s="61" t="s">
        <v>167</v>
      </c>
      <c r="C43" s="78"/>
      <c r="D43" s="79">
        <f t="shared" si="1"/>
        <v>0.78749999999999998</v>
      </c>
      <c r="E43" s="79">
        <f t="shared" si="1"/>
        <v>0.78755555555555556</v>
      </c>
      <c r="F43" s="79">
        <f t="shared" si="1"/>
        <v>0.7680555555555556</v>
      </c>
      <c r="G43" s="79">
        <f t="shared" si="1"/>
        <v>0.78573232323232334</v>
      </c>
      <c r="H43" s="79">
        <f t="shared" si="1"/>
        <v>0.80878897672375927</v>
      </c>
      <c r="I43" s="79">
        <f t="shared" si="1"/>
        <v>0.82883824062935596</v>
      </c>
      <c r="J43" s="79">
        <f t="shared" si="1"/>
        <v>0.84627238315596154</v>
      </c>
    </row>
    <row r="44" spans="2:10" ht="15.75" thickTop="1"/>
    <row r="46" spans="2:10">
      <c r="B46" s="52" t="str">
        <f>"Change Analysis Statement"&amp;"-"&amp;B4</f>
        <v>Change Analysis Statement-TATA STEELS</v>
      </c>
      <c r="C46" s="52"/>
      <c r="D46" s="52"/>
      <c r="E46" s="52"/>
      <c r="F46" s="52"/>
      <c r="G46" s="52"/>
      <c r="H46" s="52"/>
      <c r="I46" s="52"/>
      <c r="J46" s="52"/>
    </row>
    <row r="47" spans="2:10">
      <c r="C47" s="80">
        <v>0.1</v>
      </c>
    </row>
    <row r="48" spans="2:10">
      <c r="B48" s="20" t="s">
        <v>161</v>
      </c>
      <c r="C48" s="20"/>
      <c r="D48" s="53">
        <f>D8*(1+$C$48)</f>
        <v>20000</v>
      </c>
      <c r="E48" s="53">
        <f t="shared" ref="E48:J48" si="2">E8*(1+$C$48)</f>
        <v>22500</v>
      </c>
      <c r="F48" s="53">
        <f t="shared" si="2"/>
        <v>24750.000000000004</v>
      </c>
      <c r="G48" s="53">
        <f t="shared" si="2"/>
        <v>27225.000000000007</v>
      </c>
      <c r="H48" s="53">
        <f t="shared" si="2"/>
        <v>31308.750000000007</v>
      </c>
      <c r="I48" s="53">
        <f t="shared" si="2"/>
        <v>36005.062500000007</v>
      </c>
      <c r="J48" s="53">
        <f t="shared" si="2"/>
        <v>41405.821875000009</v>
      </c>
    </row>
    <row r="49" spans="2:10">
      <c r="B49" t="s">
        <v>60</v>
      </c>
      <c r="D49" s="53">
        <f t="shared" ref="D49:J57" si="3">D9*(1+$C$48)</f>
        <v>8000</v>
      </c>
      <c r="E49" s="53">
        <f t="shared" si="3"/>
        <v>9000</v>
      </c>
      <c r="F49" s="53">
        <f t="shared" si="3"/>
        <v>9900.0000000000018</v>
      </c>
      <c r="G49" s="53">
        <f t="shared" si="3"/>
        <v>10890.000000000004</v>
      </c>
      <c r="H49" s="53">
        <f t="shared" si="3"/>
        <v>12523.500000000004</v>
      </c>
      <c r="I49" s="53">
        <f t="shared" si="3"/>
        <v>14402.025000000003</v>
      </c>
      <c r="J49" s="53">
        <f t="shared" si="3"/>
        <v>16562.328750000004</v>
      </c>
    </row>
    <row r="50" spans="2:10">
      <c r="B50" t="s">
        <v>162</v>
      </c>
      <c r="D50" s="53">
        <f t="shared" si="3"/>
        <v>12000</v>
      </c>
      <c r="E50" s="53">
        <f t="shared" si="3"/>
        <v>13500</v>
      </c>
      <c r="F50" s="53">
        <f t="shared" si="3"/>
        <v>14850.000000000002</v>
      </c>
      <c r="G50" s="53">
        <f t="shared" si="3"/>
        <v>16335.000000000004</v>
      </c>
      <c r="H50" s="53">
        <f t="shared" si="3"/>
        <v>18785.250000000004</v>
      </c>
      <c r="I50" s="53">
        <f t="shared" si="3"/>
        <v>21603.037500000006</v>
      </c>
      <c r="J50" s="53">
        <f t="shared" si="3"/>
        <v>24843.493125000005</v>
      </c>
    </row>
    <row r="51" spans="2:10">
      <c r="B51" t="s">
        <v>173</v>
      </c>
      <c r="D51" s="53">
        <f t="shared" si="3"/>
        <v>2000</v>
      </c>
      <c r="E51" s="53">
        <f t="shared" si="3"/>
        <v>2250</v>
      </c>
      <c r="F51" s="53">
        <f t="shared" si="3"/>
        <v>2500</v>
      </c>
      <c r="G51" s="53">
        <f t="shared" si="3"/>
        <v>2500</v>
      </c>
      <c r="H51" s="53">
        <f t="shared" si="3"/>
        <v>2500</v>
      </c>
      <c r="I51" s="53">
        <f t="shared" si="3"/>
        <v>2500</v>
      </c>
      <c r="J51" s="53">
        <f t="shared" si="3"/>
        <v>2500</v>
      </c>
    </row>
    <row r="52" spans="2:10">
      <c r="B52" t="s">
        <v>65</v>
      </c>
      <c r="D52" s="53">
        <f t="shared" si="3"/>
        <v>10000</v>
      </c>
      <c r="E52" s="53">
        <f t="shared" si="3"/>
        <v>11250</v>
      </c>
      <c r="F52" s="53">
        <f t="shared" si="3"/>
        <v>12350.000000000002</v>
      </c>
      <c r="G52" s="53">
        <f t="shared" si="3"/>
        <v>13835.000000000004</v>
      </c>
      <c r="H52" s="53">
        <f t="shared" si="3"/>
        <v>16285.250000000004</v>
      </c>
      <c r="I52" s="53">
        <f t="shared" si="3"/>
        <v>19103.037500000006</v>
      </c>
      <c r="J52" s="53">
        <f t="shared" si="3"/>
        <v>22343.493125000005</v>
      </c>
    </row>
    <row r="53" spans="2:10">
      <c r="B53" t="s">
        <v>164</v>
      </c>
      <c r="D53" s="53">
        <f t="shared" si="3"/>
        <v>800</v>
      </c>
      <c r="E53" s="53">
        <f t="shared" si="3"/>
        <v>900</v>
      </c>
      <c r="F53" s="53">
        <f t="shared" si="3"/>
        <v>1237.5000000000002</v>
      </c>
      <c r="G53" s="53">
        <f t="shared" si="3"/>
        <v>1361.2500000000005</v>
      </c>
      <c r="H53" s="53">
        <f t="shared" si="3"/>
        <v>1565.4375000000005</v>
      </c>
      <c r="I53" s="53">
        <f t="shared" si="3"/>
        <v>1800.2531250000004</v>
      </c>
      <c r="J53" s="53">
        <f t="shared" si="3"/>
        <v>2070.2910937500005</v>
      </c>
    </row>
    <row r="54" spans="2:10">
      <c r="B54" t="s">
        <v>5</v>
      </c>
      <c r="D54" s="53">
        <f t="shared" si="3"/>
        <v>200</v>
      </c>
      <c r="E54" s="53">
        <f t="shared" si="3"/>
        <v>225</v>
      </c>
      <c r="F54" s="53">
        <f t="shared" si="3"/>
        <v>250</v>
      </c>
      <c r="G54" s="53">
        <f t="shared" si="3"/>
        <v>250</v>
      </c>
      <c r="H54" s="53">
        <f t="shared" si="3"/>
        <v>250</v>
      </c>
      <c r="I54" s="53">
        <f t="shared" si="3"/>
        <v>250</v>
      </c>
      <c r="J54" s="53">
        <f t="shared" si="3"/>
        <v>250</v>
      </c>
    </row>
    <row r="55" spans="2:10">
      <c r="B55" t="s">
        <v>165</v>
      </c>
      <c r="D55" s="53">
        <f t="shared" si="3"/>
        <v>9000</v>
      </c>
      <c r="E55" s="53">
        <f t="shared" si="3"/>
        <v>10125</v>
      </c>
      <c r="F55" s="53">
        <f t="shared" si="3"/>
        <v>10862.500000000002</v>
      </c>
      <c r="G55" s="53">
        <f t="shared" si="3"/>
        <v>12223.750000000004</v>
      </c>
      <c r="H55" s="53">
        <f t="shared" si="3"/>
        <v>14469.812500000004</v>
      </c>
      <c r="I55" s="53">
        <f t="shared" si="3"/>
        <v>17052.784375000007</v>
      </c>
      <c r="J55" s="53">
        <f t="shared" si="3"/>
        <v>20023.202031250003</v>
      </c>
    </row>
    <row r="56" spans="2:10">
      <c r="B56" t="s">
        <v>166</v>
      </c>
      <c r="D56" s="53">
        <f t="shared" si="3"/>
        <v>2700</v>
      </c>
      <c r="E56" s="53">
        <f t="shared" si="3"/>
        <v>3038</v>
      </c>
      <c r="F56" s="53">
        <f t="shared" si="3"/>
        <v>3258.7500000000005</v>
      </c>
      <c r="G56" s="53">
        <f t="shared" si="3"/>
        <v>3667.1250000000009</v>
      </c>
      <c r="H56" s="53">
        <f t="shared" si="3"/>
        <v>4340.9437500000013</v>
      </c>
      <c r="I56" s="53">
        <f t="shared" si="3"/>
        <v>5115.8353125000021</v>
      </c>
      <c r="J56" s="53">
        <f t="shared" si="3"/>
        <v>6006.9606093750008</v>
      </c>
    </row>
    <row r="57" spans="2:10" ht="15.75" thickBot="1">
      <c r="B57" s="61" t="s">
        <v>167</v>
      </c>
      <c r="C57" s="61"/>
      <c r="D57" s="81">
        <f t="shared" si="3"/>
        <v>6300</v>
      </c>
      <c r="E57" s="81">
        <f t="shared" si="3"/>
        <v>7088</v>
      </c>
      <c r="F57" s="81">
        <f t="shared" si="3"/>
        <v>7603.7500000000018</v>
      </c>
      <c r="G57" s="81">
        <f t="shared" si="3"/>
        <v>8556.6250000000036</v>
      </c>
      <c r="H57" s="81">
        <f t="shared" si="3"/>
        <v>10128.868750000001</v>
      </c>
      <c r="I57" s="81">
        <f t="shared" si="3"/>
        <v>11936.949062500003</v>
      </c>
      <c r="J57" s="81">
        <f t="shared" si="3"/>
        <v>14016.241421875002</v>
      </c>
    </row>
    <row r="58" spans="2:10" ht="15.75" thickTop="1"/>
    <row r="59" spans="2:10">
      <c r="B59" t="s">
        <v>174</v>
      </c>
      <c r="C59" s="82">
        <v>44788</v>
      </c>
      <c r="D59">
        <v>0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</row>
    <row r="60" spans="2:10">
      <c r="B60" t="s">
        <v>175</v>
      </c>
      <c r="D60" s="83">
        <f>EOMONTH($C$60,D59)</f>
        <v>31</v>
      </c>
      <c r="E60" s="83">
        <f t="shared" ref="E60:J60" si="4">EOMONTH($C$60,E59)</f>
        <v>59</v>
      </c>
      <c r="F60" s="83">
        <f t="shared" si="4"/>
        <v>91</v>
      </c>
      <c r="G60" s="83">
        <f t="shared" si="4"/>
        <v>121</v>
      </c>
      <c r="H60" s="83">
        <f t="shared" si="4"/>
        <v>152</v>
      </c>
      <c r="I60" s="83">
        <f t="shared" si="4"/>
        <v>182</v>
      </c>
      <c r="J60" s="83">
        <f t="shared" si="4"/>
        <v>213</v>
      </c>
    </row>
    <row r="61" spans="2:10">
      <c r="B61" t="s">
        <v>176</v>
      </c>
      <c r="D61" s="83">
        <f>DATE(YEAR($C$60)+D59,12,31)</f>
        <v>366</v>
      </c>
      <c r="E61" s="83">
        <f t="shared" ref="E61:H61" si="5">DATE(YEAR($C$60)+E59,12,31)</f>
        <v>731</v>
      </c>
      <c r="F61" s="83">
        <f t="shared" si="5"/>
        <v>1096</v>
      </c>
      <c r="G61" s="83">
        <f t="shared" si="5"/>
        <v>1461</v>
      </c>
      <c r="H61" s="83">
        <f t="shared" si="5"/>
        <v>1827</v>
      </c>
      <c r="I61" s="83">
        <f>DATE(YEAR($C$60)+I59,12,31)</f>
        <v>2192</v>
      </c>
      <c r="J61" s="83">
        <f>DATE(YEAR($C$60)+J59,12,31)</f>
        <v>2557</v>
      </c>
    </row>
    <row r="63" spans="2:10">
      <c r="B63" t="s">
        <v>177</v>
      </c>
      <c r="D63">
        <f>YEARFRAC($C$60,D60)</f>
        <v>8.611111111111111E-2</v>
      </c>
      <c r="E63">
        <f t="shared" ref="E63:J64" si="6">YEARFRAC($C$60,E60)</f>
        <v>0.16111111111111112</v>
      </c>
      <c r="F63">
        <f t="shared" si="6"/>
        <v>0.25277777777777777</v>
      </c>
      <c r="G63">
        <f t="shared" si="6"/>
        <v>0.33333333333333331</v>
      </c>
      <c r="H63">
        <f t="shared" si="6"/>
        <v>0.41944444444444445</v>
      </c>
      <c r="I63">
        <f t="shared" si="6"/>
        <v>0.5</v>
      </c>
      <c r="J63">
        <f t="shared" si="6"/>
        <v>0.58611111111111114</v>
      </c>
    </row>
    <row r="64" spans="2:10">
      <c r="B64" t="s">
        <v>178</v>
      </c>
      <c r="D64">
        <f>YEARFRAC($C$60,D61)</f>
        <v>1.0027777777777778</v>
      </c>
      <c r="E64">
        <f t="shared" si="6"/>
        <v>2.0027777777777778</v>
      </c>
      <c r="F64">
        <f t="shared" si="6"/>
        <v>3.0027777777777778</v>
      </c>
      <c r="G64">
        <f t="shared" si="6"/>
        <v>4.0027777777777782</v>
      </c>
      <c r="H64">
        <f t="shared" si="6"/>
        <v>5.0027777777777782</v>
      </c>
      <c r="I64">
        <f t="shared" si="6"/>
        <v>6.0027777777777782</v>
      </c>
      <c r="J64">
        <f>YEARFRAC($C$60,J61)</f>
        <v>7.0027777777777782</v>
      </c>
    </row>
    <row r="65" spans="2:10">
      <c r="B65" t="s">
        <v>179</v>
      </c>
      <c r="D65" t="str">
        <f>IF(D64&lt;1,"STUB","FULL YEAR")</f>
        <v>FULL YEAR</v>
      </c>
      <c r="E65" t="str">
        <f t="shared" ref="E65:J65" si="7">IF(E64&lt;1,"STUB","FULL YEAR")</f>
        <v>FULL YEAR</v>
      </c>
      <c r="F65" t="str">
        <f t="shared" si="7"/>
        <v>FULL YEAR</v>
      </c>
      <c r="G65" t="str">
        <f t="shared" si="7"/>
        <v>FULL YEAR</v>
      </c>
      <c r="H65" t="str">
        <f t="shared" si="7"/>
        <v>FULL YEAR</v>
      </c>
      <c r="I65" t="str">
        <f t="shared" si="7"/>
        <v>FULL YEAR</v>
      </c>
      <c r="J65" t="str">
        <f t="shared" si="7"/>
        <v>FULL YEAR</v>
      </c>
    </row>
    <row r="67" spans="2:10">
      <c r="B67" s="20" t="s">
        <v>180</v>
      </c>
    </row>
    <row r="69" spans="2:10">
      <c r="B69" t="s">
        <v>60</v>
      </c>
      <c r="C69" s="84">
        <v>0.1</v>
      </c>
      <c r="D69" s="53">
        <v>8000</v>
      </c>
      <c r="E69" s="53">
        <v>9000</v>
      </c>
      <c r="F69" s="53">
        <v>9900.0000000000018</v>
      </c>
      <c r="G69" s="53">
        <v>10890.000000000004</v>
      </c>
      <c r="H69" s="53">
        <v>12523.500000000004</v>
      </c>
      <c r="I69" s="53">
        <v>14402.025000000003</v>
      </c>
      <c r="J69" s="53">
        <v>16562.328750000004</v>
      </c>
    </row>
    <row r="70" spans="2:10">
      <c r="B70" t="s">
        <v>173</v>
      </c>
      <c r="C70" s="84">
        <v>0.2</v>
      </c>
      <c r="D70">
        <v>2000</v>
      </c>
      <c r="E70">
        <v>2250</v>
      </c>
      <c r="F70">
        <v>2500</v>
      </c>
      <c r="G70">
        <v>2500</v>
      </c>
      <c r="H70">
        <v>2500</v>
      </c>
      <c r="I70">
        <v>2500</v>
      </c>
      <c r="J70">
        <v>2500</v>
      </c>
    </row>
    <row r="71" spans="2:10">
      <c r="B71" t="s">
        <v>164</v>
      </c>
      <c r="C71" s="84">
        <v>0.2</v>
      </c>
      <c r="D71">
        <v>800</v>
      </c>
      <c r="E71">
        <v>900</v>
      </c>
      <c r="F71">
        <v>1237.5000000000002</v>
      </c>
      <c r="G71">
        <v>1361.2500000000005</v>
      </c>
      <c r="H71">
        <v>1565.4375000000005</v>
      </c>
      <c r="I71">
        <v>1800.2531250000004</v>
      </c>
      <c r="J71">
        <v>2070.2910937500005</v>
      </c>
    </row>
    <row r="72" spans="2:10">
      <c r="B72" t="s">
        <v>5</v>
      </c>
      <c r="C72" s="84">
        <v>0.3</v>
      </c>
      <c r="D72">
        <v>200</v>
      </c>
      <c r="E72">
        <v>225</v>
      </c>
      <c r="F72">
        <v>250</v>
      </c>
      <c r="G72">
        <v>250</v>
      </c>
      <c r="H72">
        <v>250</v>
      </c>
      <c r="I72">
        <v>250</v>
      </c>
      <c r="J72">
        <v>250</v>
      </c>
    </row>
    <row r="73" spans="2:10">
      <c r="B73" t="s">
        <v>166</v>
      </c>
      <c r="C73" s="84">
        <v>0.2</v>
      </c>
      <c r="D73">
        <v>2700</v>
      </c>
      <c r="E73">
        <v>3038</v>
      </c>
      <c r="F73">
        <v>3258.7500000000005</v>
      </c>
      <c r="G73">
        <v>3667.1250000000009</v>
      </c>
      <c r="H73">
        <v>4340.9437500000013</v>
      </c>
      <c r="I73">
        <v>5115.8353125000021</v>
      </c>
      <c r="J73">
        <v>6006.9606093750008</v>
      </c>
    </row>
    <row r="74" spans="2:10" ht="15.75" thickBot="1">
      <c r="B74" s="78" t="s">
        <v>14</v>
      </c>
      <c r="C74" s="78"/>
      <c r="D74" s="78">
        <f t="shared" ref="D74:J74" si="8">SUM(D69:D73)</f>
        <v>13700</v>
      </c>
      <c r="E74" s="78">
        <f t="shared" si="8"/>
        <v>15413</v>
      </c>
      <c r="F74" s="78">
        <f t="shared" si="8"/>
        <v>17146.250000000004</v>
      </c>
      <c r="G74" s="78">
        <f t="shared" si="8"/>
        <v>18668.375000000004</v>
      </c>
      <c r="H74" s="78">
        <f t="shared" si="8"/>
        <v>21179.881250000006</v>
      </c>
      <c r="I74" s="78">
        <f t="shared" si="8"/>
        <v>24068.113437500004</v>
      </c>
      <c r="J74" s="78">
        <f t="shared" si="8"/>
        <v>27389.580453125007</v>
      </c>
    </row>
    <row r="75" spans="2:10" ht="15.75" thickTop="1"/>
    <row r="77" spans="2:10">
      <c r="B77" s="20" t="s">
        <v>181</v>
      </c>
      <c r="D77" s="85">
        <f>AVERAGE(D69:D73)</f>
        <v>2740</v>
      </c>
      <c r="E77" s="85">
        <f t="shared" ref="E77:J77" si="9">AVERAGE(E69:E73)</f>
        <v>3082.6</v>
      </c>
      <c r="F77" s="85">
        <f t="shared" si="9"/>
        <v>3429.2500000000009</v>
      </c>
      <c r="G77" s="85">
        <f t="shared" si="9"/>
        <v>3733.6750000000006</v>
      </c>
      <c r="H77" s="85">
        <f t="shared" si="9"/>
        <v>4235.9762500000015</v>
      </c>
      <c r="I77" s="85">
        <f t="shared" si="9"/>
        <v>4813.6226875000011</v>
      </c>
      <c r="J77" s="85">
        <f t="shared" si="9"/>
        <v>5477.9160906250017</v>
      </c>
    </row>
    <row r="78" spans="2:10">
      <c r="B78" s="20" t="s">
        <v>182</v>
      </c>
      <c r="D78">
        <f>SUMPRODUCT($C$70:$C$74,D69:D73)</f>
        <v>2280</v>
      </c>
      <c r="E78">
        <f t="shared" ref="E78:J78" si="10">SUMPRODUCT($C$70:$C$74,E69:E73)</f>
        <v>2565</v>
      </c>
      <c r="F78">
        <f t="shared" si="10"/>
        <v>2901.2500000000005</v>
      </c>
      <c r="G78">
        <f t="shared" si="10"/>
        <v>3136.3750000000009</v>
      </c>
      <c r="H78">
        <f t="shared" si="10"/>
        <v>3524.3312500000011</v>
      </c>
      <c r="I78">
        <f t="shared" si="10"/>
        <v>3970.4809375000009</v>
      </c>
      <c r="J78">
        <f t="shared" si="10"/>
        <v>4483.5530781250018</v>
      </c>
    </row>
    <row r="80" spans="2:10">
      <c r="B80" s="20" t="s">
        <v>183</v>
      </c>
      <c r="D80" s="85">
        <v>2000</v>
      </c>
      <c r="E80">
        <v>2250</v>
      </c>
      <c r="F80">
        <v>2500</v>
      </c>
      <c r="G80">
        <v>2500</v>
      </c>
      <c r="H80">
        <v>2500</v>
      </c>
      <c r="I80">
        <v>2500</v>
      </c>
      <c r="J80">
        <v>2500</v>
      </c>
    </row>
    <row r="81" spans="2:10">
      <c r="B81" s="86" t="s">
        <v>184</v>
      </c>
      <c r="D81" s="85">
        <f>MIN(D69:D73)</f>
        <v>200</v>
      </c>
      <c r="E81" s="85">
        <f t="shared" ref="E81:J81" si="11">MIN(E69:E73)</f>
        <v>225</v>
      </c>
      <c r="F81" s="85">
        <f t="shared" si="11"/>
        <v>250</v>
      </c>
      <c r="G81" s="85">
        <f t="shared" si="11"/>
        <v>250</v>
      </c>
      <c r="H81" s="85">
        <f t="shared" si="11"/>
        <v>250</v>
      </c>
      <c r="I81" s="85">
        <f t="shared" si="11"/>
        <v>250</v>
      </c>
      <c r="J81" s="85">
        <f t="shared" si="11"/>
        <v>250</v>
      </c>
    </row>
    <row r="82" spans="2:10">
      <c r="B82" s="20" t="s">
        <v>185</v>
      </c>
      <c r="D82" s="85">
        <f>MAX(D69:D73)</f>
        <v>8000</v>
      </c>
      <c r="E82" s="85">
        <f t="shared" ref="E82:J82" si="12">MAX(E69:E73)</f>
        <v>9000</v>
      </c>
      <c r="F82" s="85">
        <f t="shared" si="12"/>
        <v>9900.0000000000018</v>
      </c>
      <c r="G82" s="85">
        <f t="shared" si="12"/>
        <v>10890.000000000004</v>
      </c>
      <c r="H82" s="85">
        <f t="shared" si="12"/>
        <v>12523.500000000004</v>
      </c>
      <c r="I82" s="85">
        <f t="shared" si="12"/>
        <v>14402.025000000003</v>
      </c>
      <c r="J82" s="85">
        <f t="shared" si="12"/>
        <v>16562.328750000004</v>
      </c>
    </row>
    <row r="83" spans="2:10">
      <c r="B83" s="20" t="s">
        <v>186</v>
      </c>
      <c r="C83" s="87">
        <v>2</v>
      </c>
      <c r="D83">
        <f>SMALL(D69:D73,$C$84)</f>
        <v>2000</v>
      </c>
      <c r="E83">
        <f t="shared" ref="E83:J83" si="13">SMALL(E69:E73,$C$84)</f>
        <v>2250</v>
      </c>
      <c r="F83">
        <f t="shared" si="13"/>
        <v>2500</v>
      </c>
      <c r="G83">
        <f t="shared" si="13"/>
        <v>2500</v>
      </c>
      <c r="H83">
        <f t="shared" si="13"/>
        <v>2500</v>
      </c>
      <c r="I83">
        <f t="shared" si="13"/>
        <v>2500</v>
      </c>
      <c r="J83">
        <f t="shared" si="13"/>
        <v>2500</v>
      </c>
    </row>
    <row r="84" spans="2:10">
      <c r="B84" s="20" t="s">
        <v>187</v>
      </c>
      <c r="C84">
        <v>3</v>
      </c>
      <c r="D84">
        <v>2000</v>
      </c>
      <c r="E84">
        <v>2250</v>
      </c>
      <c r="F84">
        <v>2500</v>
      </c>
      <c r="G84">
        <v>2500</v>
      </c>
      <c r="H84">
        <v>2500</v>
      </c>
      <c r="I84">
        <v>2500</v>
      </c>
      <c r="J84">
        <v>2500</v>
      </c>
    </row>
    <row r="87" spans="2:10">
      <c r="B87" s="20" t="s">
        <v>188</v>
      </c>
    </row>
    <row r="88" spans="2:10">
      <c r="B88" s="20" t="s">
        <v>189</v>
      </c>
      <c r="C88" s="84">
        <v>17500</v>
      </c>
      <c r="D88">
        <f>IF(D74&lt;$C$89,D74,0)</f>
        <v>13700</v>
      </c>
      <c r="E88">
        <f t="shared" ref="E88:J88" si="14">IF(E74&lt;$C$89,E74,0)</f>
        <v>15413</v>
      </c>
      <c r="F88">
        <f t="shared" si="14"/>
        <v>17146.250000000004</v>
      </c>
      <c r="G88">
        <f t="shared" si="14"/>
        <v>0</v>
      </c>
      <c r="H88">
        <f t="shared" si="14"/>
        <v>0</v>
      </c>
      <c r="I88">
        <f t="shared" si="14"/>
        <v>0</v>
      </c>
      <c r="J88">
        <f t="shared" si="14"/>
        <v>0</v>
      </c>
    </row>
    <row r="89" spans="2:10">
      <c r="B89" s="20" t="s">
        <v>190</v>
      </c>
      <c r="C89" s="84">
        <v>17500</v>
      </c>
    </row>
  </sheetData>
  <conditionalFormatting sqref="D12:J12">
    <cfRule type="cellIs" dxfId="1" priority="1" operator="greaterThan">
      <formula>15000</formula>
    </cfRule>
  </conditionalFormatting>
  <conditionalFormatting sqref="D34:J43">
    <cfRule type="cellIs" dxfId="0" priority="2" operator="less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06DE-135D-4A01-8AA7-E22D6F1EF532}">
  <sheetPr>
    <tabColor rgb="FF0000CC"/>
  </sheetPr>
  <dimension ref="A1:H11"/>
  <sheetViews>
    <sheetView workbookViewId="0">
      <selection activeCell="M20" sqref="M20"/>
    </sheetView>
  </sheetViews>
  <sheetFormatPr defaultRowHeight="15"/>
  <sheetData>
    <row r="1" spans="1:8">
      <c r="A1" s="88" t="s">
        <v>191</v>
      </c>
      <c r="C1" s="48">
        <v>2020</v>
      </c>
      <c r="D1" s="48">
        <v>2021</v>
      </c>
      <c r="F1" s="89">
        <v>2022</v>
      </c>
      <c r="G1" s="89">
        <v>2023</v>
      </c>
      <c r="H1" s="89">
        <v>2024</v>
      </c>
    </row>
    <row r="2" spans="1:8">
      <c r="A2" t="s">
        <v>161</v>
      </c>
      <c r="C2">
        <v>20000</v>
      </c>
      <c r="D2">
        <v>22500</v>
      </c>
    </row>
    <row r="3" spans="1:8">
      <c r="A3" t="s">
        <v>60</v>
      </c>
      <c r="C3">
        <v>8000</v>
      </c>
      <c r="D3">
        <v>9000</v>
      </c>
    </row>
    <row r="4" spans="1:8">
      <c r="A4" t="s">
        <v>162</v>
      </c>
      <c r="C4">
        <f>(C2-C3)</f>
        <v>12000</v>
      </c>
      <c r="D4">
        <v>13500</v>
      </c>
    </row>
    <row r="5" spans="1:8">
      <c r="A5" t="s">
        <v>192</v>
      </c>
      <c r="C5">
        <v>2000</v>
      </c>
      <c r="D5">
        <v>2250</v>
      </c>
    </row>
    <row r="6" spans="1:8">
      <c r="A6" t="s">
        <v>65</v>
      </c>
      <c r="C6">
        <v>10000</v>
      </c>
      <c r="D6">
        <v>11250</v>
      </c>
    </row>
    <row r="7" spans="1:8">
      <c r="A7" t="s">
        <v>164</v>
      </c>
      <c r="C7">
        <v>800</v>
      </c>
      <c r="D7">
        <v>900</v>
      </c>
    </row>
    <row r="8" spans="1:8">
      <c r="A8" t="s">
        <v>5</v>
      </c>
      <c r="C8">
        <v>200</v>
      </c>
      <c r="D8">
        <v>225</v>
      </c>
    </row>
    <row r="9" spans="1:8">
      <c r="A9" t="s">
        <v>165</v>
      </c>
      <c r="C9">
        <v>9000</v>
      </c>
      <c r="D9">
        <v>10125</v>
      </c>
    </row>
    <row r="10" spans="1:8">
      <c r="A10" t="s">
        <v>166</v>
      </c>
      <c r="C10">
        <v>2700</v>
      </c>
      <c r="D10">
        <v>3038</v>
      </c>
    </row>
    <row r="11" spans="1:8">
      <c r="A11" t="s">
        <v>193</v>
      </c>
      <c r="C11">
        <v>6300</v>
      </c>
      <c r="D11">
        <v>7088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30D4-E801-4063-B70B-4039D0824810}">
  <sheetPr>
    <tabColor rgb="FF0000CC"/>
  </sheetPr>
  <dimension ref="B2:K14"/>
  <sheetViews>
    <sheetView workbookViewId="0">
      <selection activeCell="G20" sqref="G20"/>
    </sheetView>
  </sheetViews>
  <sheetFormatPr defaultRowHeight="15"/>
  <cols>
    <col min="1" max="1" width="9.140625" style="109"/>
    <col min="2" max="2" width="20.85546875" style="109" customWidth="1"/>
    <col min="3" max="4" width="9.140625" style="109"/>
    <col min="5" max="5" width="11.140625" style="109" customWidth="1"/>
    <col min="6" max="7" width="11.42578125" style="109" customWidth="1"/>
    <col min="8" max="10" width="9.140625" style="109"/>
    <col min="11" max="11" width="10.7109375" style="109" bestFit="1" customWidth="1"/>
    <col min="12" max="16384" width="9.140625" style="109"/>
  </cols>
  <sheetData>
    <row r="2" spans="2:11">
      <c r="B2" s="109" t="s">
        <v>290</v>
      </c>
    </row>
    <row r="4" spans="2:11">
      <c r="H4" s="109" t="s">
        <v>197</v>
      </c>
      <c r="I4" s="109" t="s">
        <v>197</v>
      </c>
      <c r="J4" s="109" t="s">
        <v>289</v>
      </c>
      <c r="K4" s="109" t="s">
        <v>288</v>
      </c>
    </row>
    <row r="5" spans="2:11" ht="17.25">
      <c r="E5" s="109" t="s">
        <v>228</v>
      </c>
      <c r="F5" s="109" t="s">
        <v>287</v>
      </c>
      <c r="G5" s="109" t="s">
        <v>286</v>
      </c>
      <c r="H5" s="109" t="s">
        <v>202</v>
      </c>
      <c r="I5" s="109" t="s">
        <v>205</v>
      </c>
      <c r="J5" s="109" t="s">
        <v>285</v>
      </c>
      <c r="K5" s="109" t="s">
        <v>284</v>
      </c>
    </row>
    <row r="6" spans="2:11">
      <c r="B6" s="109" t="s">
        <v>208</v>
      </c>
      <c r="D6" s="109" t="s">
        <v>209</v>
      </c>
      <c r="E6" s="109">
        <f>[1]Sheet1!P2</f>
        <v>712.91</v>
      </c>
      <c r="F6" s="109">
        <f>[1]Sheet1!N2</f>
        <v>281370.49</v>
      </c>
      <c r="G6" s="119">
        <v>0.3</v>
      </c>
      <c r="H6" s="119">
        <f>E6/F6</f>
        <v>2.5337056490892132E-3</v>
      </c>
      <c r="I6" s="119">
        <f>E6/SUM(E6:F6)</f>
        <v>2.5273022092047958E-3</v>
      </c>
      <c r="J6" s="117">
        <f>[2]Sheet1!$P$7</f>
        <v>1.0622810818741086</v>
      </c>
      <c r="K6" s="128">
        <f>J6/(1+(1-G6)*H6)</f>
        <v>1.0604003622025027</v>
      </c>
    </row>
    <row r="7" spans="2:11">
      <c r="B7" s="109" t="s">
        <v>210</v>
      </c>
      <c r="D7" s="109" t="s">
        <v>209</v>
      </c>
      <c r="E7" s="109">
        <f>[1]Sheet1!P3</f>
        <v>1842.2</v>
      </c>
      <c r="F7" s="109">
        <f>[1]Sheet1!N3</f>
        <v>185816.8</v>
      </c>
      <c r="G7" s="119">
        <v>0.3</v>
      </c>
      <c r="H7" s="119">
        <f>E7/F7</f>
        <v>9.9140658971632288E-3</v>
      </c>
      <c r="I7" s="119">
        <f>E7/SUM(E7:F7)</f>
        <v>9.816742069391822E-3</v>
      </c>
      <c r="J7" s="109">
        <v>1.1100000000000001</v>
      </c>
      <c r="K7" s="128">
        <f>J7/(1+(1-G7)*H7)</f>
        <v>1.1023498615813874</v>
      </c>
    </row>
    <row r="8" spans="2:11">
      <c r="B8" s="109" t="s">
        <v>211</v>
      </c>
      <c r="D8" s="109" t="s">
        <v>209</v>
      </c>
      <c r="E8" s="109">
        <f>[1]Sheet1!P4</f>
        <v>9999.18</v>
      </c>
      <c r="F8" s="109">
        <f>[1]Sheet1!N4</f>
        <v>33165.94</v>
      </c>
      <c r="G8" s="119">
        <v>0.3</v>
      </c>
      <c r="H8" s="119">
        <f>E8/F8</f>
        <v>0.30148941956718245</v>
      </c>
      <c r="I8" s="119">
        <f>E8/SUM(E8:F8)</f>
        <v>0.23164953555092629</v>
      </c>
      <c r="J8" s="109">
        <v>1.43</v>
      </c>
      <c r="K8" s="128">
        <f>J8/(1+(1-G8)*H8)</f>
        <v>1.1808007475893534</v>
      </c>
    </row>
    <row r="9" spans="2:11">
      <c r="B9" s="109" t="s">
        <v>212</v>
      </c>
      <c r="D9" s="109" t="s">
        <v>209</v>
      </c>
      <c r="E9" s="109">
        <f>[1]Sheet1!P5</f>
        <v>1573.61</v>
      </c>
      <c r="F9" s="109">
        <f>[1]Sheet1!N5</f>
        <v>17454.38</v>
      </c>
      <c r="G9" s="119">
        <v>0.3</v>
      </c>
      <c r="H9" s="119">
        <f>E9/F9</f>
        <v>9.0155594183236515E-2</v>
      </c>
      <c r="I9" s="119">
        <f>E9/SUM(E9:F9)</f>
        <v>8.2699749159002064E-2</v>
      </c>
      <c r="J9" s="117">
        <v>0</v>
      </c>
      <c r="K9" s="128">
        <f>J9/(1+(1-G9)*H9)</f>
        <v>0</v>
      </c>
    </row>
    <row r="10" spans="2:11">
      <c r="B10" s="109" t="s">
        <v>213</v>
      </c>
      <c r="D10" s="109" t="s">
        <v>209</v>
      </c>
      <c r="E10" s="109">
        <f>[1]Sheet1!P6</f>
        <v>1029.75</v>
      </c>
      <c r="F10" s="109">
        <f>[1]Sheet1!N6</f>
        <v>10021.959999999999</v>
      </c>
      <c r="G10" s="119">
        <v>0.3</v>
      </c>
      <c r="H10" s="119">
        <f>E10/F10</f>
        <v>0.10274936240016924</v>
      </c>
      <c r="I10" s="119">
        <f>E10/SUM(E10:F10)</f>
        <v>9.317562621530967E-2</v>
      </c>
      <c r="J10" s="109">
        <v>0.72</v>
      </c>
      <c r="K10" s="128">
        <f>J10/(1+(1-G10)*H10)</f>
        <v>0.67168906386937832</v>
      </c>
    </row>
    <row r="13" spans="2:11">
      <c r="F13" s="109" t="s">
        <v>283</v>
      </c>
      <c r="G13" s="119">
        <f>AVERAGE(G6:G10)</f>
        <v>0.3</v>
      </c>
      <c r="H13" s="119">
        <f>AVERAGE(H6:H10)</f>
        <v>0.10136842953936812</v>
      </c>
      <c r="I13" s="119">
        <f>AVERAGE(I6:I10)</f>
        <v>8.3973791040766937E-2</v>
      </c>
      <c r="J13" s="119">
        <f>AVERAGE(J6:J10)</f>
        <v>0.86445621637482173</v>
      </c>
    </row>
    <row r="14" spans="2:11">
      <c r="F14" s="109" t="s">
        <v>282</v>
      </c>
      <c r="G14" s="119">
        <f>MEDIAN(G6:G10)</f>
        <v>0.3</v>
      </c>
      <c r="H14" s="119">
        <f>MEDIAN(H6:H10)</f>
        <v>9.0155594183236515E-2</v>
      </c>
      <c r="I14" s="119">
        <f>MEDIAN(I6:I10)</f>
        <v>8.2699749159002064E-2</v>
      </c>
      <c r="J14" s="119">
        <f>MEDIAN(J6:J10)</f>
        <v>1.0622810818741086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49F6-389A-47E1-AA1F-4451ECF072FE}">
  <sheetPr>
    <tabColor rgb="FF0000CC"/>
  </sheetPr>
  <dimension ref="B3:N47"/>
  <sheetViews>
    <sheetView showGridLines="0" workbookViewId="0">
      <selection activeCell="D3" sqref="D3"/>
    </sheetView>
  </sheetViews>
  <sheetFormatPr defaultRowHeight="15"/>
  <cols>
    <col min="1" max="1" width="1.85546875" style="90" customWidth="1"/>
    <col min="2" max="2" width="39.7109375" style="90" customWidth="1"/>
    <col min="3" max="3" width="9.140625" style="90"/>
    <col min="4" max="4" width="11.42578125" style="90" customWidth="1"/>
    <col min="5" max="5" width="12.5703125" style="90" customWidth="1"/>
    <col min="6" max="6" width="9.140625" style="90"/>
    <col min="7" max="7" width="10.140625" style="90" bestFit="1" customWidth="1"/>
    <col min="8" max="9" width="9.140625" style="90"/>
    <col min="10" max="10" width="27.5703125" style="90" customWidth="1"/>
    <col min="11" max="16384" width="9.140625" style="90"/>
  </cols>
  <sheetData>
    <row r="3" spans="2:10" ht="18.75">
      <c r="B3" s="91" t="s">
        <v>194</v>
      </c>
    </row>
    <row r="5" spans="2:10">
      <c r="B5" s="92" t="s">
        <v>195</v>
      </c>
    </row>
    <row r="7" spans="2:10">
      <c r="B7" s="90" t="s">
        <v>196</v>
      </c>
    </row>
    <row r="9" spans="2:10">
      <c r="B9" s="93"/>
      <c r="C9" s="93"/>
      <c r="D9" s="93"/>
      <c r="E9" s="93"/>
      <c r="F9" s="93"/>
      <c r="G9" s="93" t="s">
        <v>197</v>
      </c>
      <c r="H9" s="93" t="s">
        <v>197</v>
      </c>
      <c r="I9" s="93" t="s">
        <v>198</v>
      </c>
      <c r="J9" s="93" t="s">
        <v>199</v>
      </c>
    </row>
    <row r="10" spans="2:10" ht="17.25">
      <c r="B10" s="94" t="s">
        <v>200</v>
      </c>
      <c r="C10" s="94" t="s">
        <v>201</v>
      </c>
      <c r="D10" s="94" t="s">
        <v>202</v>
      </c>
      <c r="E10" s="94" t="s">
        <v>203</v>
      </c>
      <c r="F10" s="94" t="s">
        <v>204</v>
      </c>
      <c r="G10" s="94" t="s">
        <v>202</v>
      </c>
      <c r="H10" s="94" t="s">
        <v>205</v>
      </c>
      <c r="I10" s="94" t="s">
        <v>206</v>
      </c>
      <c r="J10" s="94" t="s">
        <v>207</v>
      </c>
    </row>
    <row r="12" spans="2:10">
      <c r="B12" s="95" t="s">
        <v>208</v>
      </c>
      <c r="C12" s="95" t="s">
        <v>209</v>
      </c>
      <c r="D12" s="95">
        <f>[1]Sheet1!N2</f>
        <v>281370.49</v>
      </c>
      <c r="E12" s="95">
        <f>[1]Sheet1!P2</f>
        <v>712.91</v>
      </c>
      <c r="F12" s="96">
        <v>0.3</v>
      </c>
      <c r="G12" s="97">
        <f>E12/D12</f>
        <v>2.5337056490892132E-3</v>
      </c>
      <c r="H12" s="97">
        <f>E12/(SUM(D12:E12))</f>
        <v>2.5273022092047958E-3</v>
      </c>
      <c r="I12" s="98">
        <f>'PEER COMPARISON'!J6</f>
        <v>1.0622810818741086</v>
      </c>
      <c r="J12" s="99">
        <f>I12/(1+(1-F12)*G12)</f>
        <v>1.0604003622025027</v>
      </c>
    </row>
    <row r="13" spans="2:10">
      <c r="B13" s="95" t="s">
        <v>210</v>
      </c>
      <c r="C13" s="95" t="s">
        <v>209</v>
      </c>
      <c r="D13" s="95">
        <f>[1]Sheet1!N3</f>
        <v>185816.8</v>
      </c>
      <c r="E13" s="95">
        <f>[1]Sheet1!P3</f>
        <v>1842.2</v>
      </c>
      <c r="F13" s="96">
        <v>0.3</v>
      </c>
      <c r="G13" s="97">
        <f>E13/D13</f>
        <v>9.9140658971632288E-3</v>
      </c>
      <c r="H13" s="97">
        <f>E13/(SUM(D13:E13))</f>
        <v>9.816742069391822E-3</v>
      </c>
      <c r="I13" s="98">
        <f>'PEER COMPARISON'!J7</f>
        <v>1.1100000000000001</v>
      </c>
      <c r="J13" s="99">
        <f>I13/(1+(1-F13)*G13)</f>
        <v>1.1023498615813874</v>
      </c>
    </row>
    <row r="14" spans="2:10">
      <c r="B14" s="95" t="s">
        <v>211</v>
      </c>
      <c r="C14" s="95" t="s">
        <v>209</v>
      </c>
      <c r="D14" s="95">
        <f>[1]Sheet1!N4</f>
        <v>33165.94</v>
      </c>
      <c r="E14" s="95">
        <f>[1]Sheet1!P4</f>
        <v>9999.18</v>
      </c>
      <c r="F14" s="96">
        <v>0.3</v>
      </c>
      <c r="G14" s="97">
        <f>E14/D14</f>
        <v>0.30148941956718245</v>
      </c>
      <c r="H14" s="97">
        <f>E14/(SUM(D14:E14))</f>
        <v>0.23164953555092629</v>
      </c>
      <c r="I14" s="98">
        <f>'PEER COMPARISON'!J8</f>
        <v>1.43</v>
      </c>
      <c r="J14" s="99">
        <f>I14/(1+(1-F14)*G14)</f>
        <v>1.1808007475893534</v>
      </c>
    </row>
    <row r="15" spans="2:10">
      <c r="B15" s="95" t="s">
        <v>212</v>
      </c>
      <c r="C15" s="95" t="s">
        <v>209</v>
      </c>
      <c r="D15" s="95">
        <f>[1]Sheet1!N5</f>
        <v>17454.38</v>
      </c>
      <c r="E15" s="95">
        <f>[1]Sheet1!P5</f>
        <v>1573.61</v>
      </c>
      <c r="F15" s="96">
        <v>0.3</v>
      </c>
      <c r="G15" s="97">
        <f>E15/D15</f>
        <v>9.0155594183236515E-2</v>
      </c>
      <c r="H15" s="97">
        <f>E15/(SUM(D15:E15))</f>
        <v>8.2699749159002064E-2</v>
      </c>
      <c r="I15" s="98">
        <f>'PEER COMPARISON'!J9</f>
        <v>0</v>
      </c>
      <c r="J15" s="99">
        <f>I15/(1+(1-F15)*G15)</f>
        <v>0</v>
      </c>
    </row>
    <row r="16" spans="2:10">
      <c r="B16" s="95" t="s">
        <v>213</v>
      </c>
      <c r="C16" s="95" t="s">
        <v>209</v>
      </c>
      <c r="D16" s="95">
        <f>[1]Sheet1!N6</f>
        <v>10021.959999999999</v>
      </c>
      <c r="E16" s="95">
        <f>[1]Sheet1!P6</f>
        <v>1029.75</v>
      </c>
      <c r="F16" s="96">
        <v>0.3</v>
      </c>
      <c r="G16" s="97">
        <f>E16/D16</f>
        <v>0.10274936240016924</v>
      </c>
      <c r="H16" s="97">
        <f>E16/(SUM(D16:E16))</f>
        <v>9.317562621530967E-2</v>
      </c>
      <c r="I16" s="98">
        <f>'PEER COMPARISON'!J10</f>
        <v>0.72</v>
      </c>
      <c r="J16" s="99">
        <f>I16/(1+(1-F16)*G16)</f>
        <v>0.67168906386937832</v>
      </c>
    </row>
    <row r="20" spans="2:11">
      <c r="E20" s="100" t="s">
        <v>214</v>
      </c>
      <c r="F20" s="97">
        <f>AVERAGE(F12:F16)</f>
        <v>0.3</v>
      </c>
      <c r="G20" s="97">
        <f>AVERAGE(G12:G16)</f>
        <v>0.10136842953936812</v>
      </c>
      <c r="H20" s="97">
        <f>AVERAGE(H12:H16)</f>
        <v>8.3973791040766937E-2</v>
      </c>
      <c r="I20" s="97">
        <f>AVERAGE(I12:I16)</f>
        <v>0.86445621637482173</v>
      </c>
      <c r="J20" s="99">
        <f>AVERAGE(J12:J16)</f>
        <v>0.8030480070485243</v>
      </c>
    </row>
    <row r="21" spans="2:11">
      <c r="E21" s="100" t="s">
        <v>215</v>
      </c>
      <c r="F21" s="97">
        <f>MEDIAN(F12:F16)</f>
        <v>0.3</v>
      </c>
      <c r="G21" s="97">
        <f>MEDIAN(G12:G16)</f>
        <v>9.0155594183236515E-2</v>
      </c>
      <c r="H21" s="97">
        <f>MEDIAN(H12:H16)</f>
        <v>8.2699749159002064E-2</v>
      </c>
      <c r="I21" s="97">
        <f>MEDIAN(I12:I16)</f>
        <v>1.0622810818741086</v>
      </c>
      <c r="J21" s="99">
        <f>MEDIAN(J12:J16)</f>
        <v>1.0604003622025027</v>
      </c>
    </row>
    <row r="24" spans="2:11">
      <c r="B24" s="101" t="s">
        <v>216</v>
      </c>
      <c r="C24" s="94"/>
      <c r="J24" s="101" t="s">
        <v>217</v>
      </c>
      <c r="K24" s="94"/>
    </row>
    <row r="26" spans="2:11">
      <c r="B26" s="90" t="s">
        <v>218</v>
      </c>
      <c r="C26" s="97">
        <f>58/C34</f>
        <v>8.1356692990700086E-2</v>
      </c>
      <c r="J26" s="90" t="s">
        <v>219</v>
      </c>
      <c r="K26" s="97">
        <v>6.4699999999999994E-2</v>
      </c>
    </row>
    <row r="27" spans="2:11">
      <c r="B27" s="94" t="s">
        <v>220</v>
      </c>
      <c r="C27" s="102">
        <v>0.3</v>
      </c>
      <c r="J27" s="90" t="s">
        <v>221</v>
      </c>
      <c r="K27" s="97">
        <f>[3]Sheet1!$G$4-K26</f>
        <v>8.8647999999999991E-2</v>
      </c>
    </row>
    <row r="28" spans="2:11" ht="17.25">
      <c r="B28" s="90" t="s">
        <v>222</v>
      </c>
      <c r="C28" s="97">
        <f>C26*(1-C27)</f>
        <v>5.6949685093490056E-2</v>
      </c>
      <c r="J28" s="94" t="s">
        <v>223</v>
      </c>
      <c r="K28" s="103">
        <v>1.1200000000000001</v>
      </c>
    </row>
    <row r="29" spans="2:11">
      <c r="J29" s="90" t="s">
        <v>217</v>
      </c>
      <c r="K29" s="97">
        <f>K26+K27*K28</f>
        <v>0.16398575999999998</v>
      </c>
    </row>
    <row r="31" spans="2:11">
      <c r="B31" s="101" t="s">
        <v>224</v>
      </c>
      <c r="C31" s="94"/>
      <c r="D31" s="94"/>
      <c r="E31" s="94"/>
      <c r="J31" s="101" t="s">
        <v>217</v>
      </c>
    </row>
    <row r="33" spans="2:14">
      <c r="D33" s="100" t="s">
        <v>225</v>
      </c>
      <c r="E33" s="100" t="s">
        <v>226</v>
      </c>
      <c r="J33" s="90" t="s">
        <v>227</v>
      </c>
      <c r="K33" s="99">
        <f>J21</f>
        <v>1.0604003622025027</v>
      </c>
    </row>
    <row r="34" spans="2:14">
      <c r="B34" s="90" t="s">
        <v>228</v>
      </c>
      <c r="C34" s="95">
        <f>E12</f>
        <v>712.91</v>
      </c>
      <c r="D34" s="97">
        <f>C34/C36</f>
        <v>2.5273022092047958E-3</v>
      </c>
      <c r="E34" s="96">
        <f>H20</f>
        <v>8.3973791040766937E-2</v>
      </c>
      <c r="J34" s="90" t="s">
        <v>229</v>
      </c>
      <c r="K34" s="97">
        <f>E34</f>
        <v>8.3973791040766937E-2</v>
      </c>
    </row>
    <row r="35" spans="2:14">
      <c r="B35" s="94" t="s">
        <v>230</v>
      </c>
      <c r="C35" s="104">
        <f>D12</f>
        <v>281370.49</v>
      </c>
      <c r="D35" s="105">
        <f>D36-D34</f>
        <v>0.99747269779079517</v>
      </c>
      <c r="E35" s="105">
        <f>E36-E34</f>
        <v>0.91602620895923303</v>
      </c>
      <c r="J35" s="90" t="s">
        <v>220</v>
      </c>
      <c r="K35" s="106">
        <v>0.3</v>
      </c>
    </row>
    <row r="36" spans="2:14">
      <c r="B36" s="90" t="s">
        <v>231</v>
      </c>
      <c r="C36" s="90">
        <f>SUM(C34:C35)</f>
        <v>282083.39999999997</v>
      </c>
      <c r="D36" s="106">
        <v>1</v>
      </c>
      <c r="E36" s="106">
        <v>1</v>
      </c>
      <c r="J36" s="90" t="s">
        <v>232</v>
      </c>
      <c r="K36" s="99">
        <f>K33*(1+(1-K35)*K34)</f>
        <v>1.1227324491071051</v>
      </c>
    </row>
    <row r="38" spans="2:14">
      <c r="B38" s="90" t="s">
        <v>233</v>
      </c>
      <c r="D38" s="97">
        <f>D34/D35</f>
        <v>2.5337056490892136E-3</v>
      </c>
      <c r="E38" s="97">
        <f>E34/E35</f>
        <v>9.1671821416743016E-2</v>
      </c>
    </row>
    <row r="43" spans="2:14">
      <c r="B43" s="100" t="s">
        <v>234</v>
      </c>
      <c r="J43" s="107" t="s">
        <v>235</v>
      </c>
      <c r="K43" s="108"/>
      <c r="L43" s="108"/>
      <c r="M43" s="108"/>
      <c r="N43" s="108"/>
    </row>
    <row r="44" spans="2:14">
      <c r="J44" s="108" t="s">
        <v>236</v>
      </c>
      <c r="K44" s="108"/>
      <c r="L44" s="108"/>
      <c r="M44" s="108"/>
      <c r="N44" s="108"/>
    </row>
    <row r="45" spans="2:14">
      <c r="B45" s="90" t="s">
        <v>237</v>
      </c>
      <c r="C45" s="97">
        <f>C28</f>
        <v>5.6949685093490056E-2</v>
      </c>
      <c r="D45" s="97">
        <f>E34</f>
        <v>8.3973791040766937E-2</v>
      </c>
      <c r="J45" s="108" t="s">
        <v>238</v>
      </c>
      <c r="K45" s="108"/>
      <c r="L45" s="108"/>
      <c r="M45" s="108"/>
      <c r="N45" s="108"/>
    </row>
    <row r="46" spans="2:14">
      <c r="B46" s="94" t="s">
        <v>202</v>
      </c>
      <c r="C46" s="105">
        <f>K29</f>
        <v>0.16398575999999998</v>
      </c>
      <c r="D46" s="105">
        <f>E35</f>
        <v>0.91602620895923303</v>
      </c>
      <c r="J46" s="108" t="s">
        <v>239</v>
      </c>
      <c r="K46" s="108"/>
      <c r="L46" s="108"/>
      <c r="M46" s="108"/>
      <c r="N46" s="108"/>
    </row>
    <row r="47" spans="2:14">
      <c r="B47" s="90" t="s">
        <v>234</v>
      </c>
      <c r="D47" s="97">
        <f>SUMPRODUCT(C45:C46,D45:D46)</f>
        <v>0.15499753501197683</v>
      </c>
      <c r="J47" s="108" t="s">
        <v>240</v>
      </c>
      <c r="K47" s="108"/>
      <c r="L47" s="108"/>
      <c r="M47" s="108"/>
      <c r="N47" s="10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E60E-1902-4469-BED7-F72C0F9BD2DD}">
  <sheetPr>
    <tabColor rgb="FF0000CC"/>
  </sheetPr>
  <dimension ref="A2:Y120"/>
  <sheetViews>
    <sheetView topLeftCell="A13" workbookViewId="0">
      <selection activeCell="O40" sqref="O40"/>
    </sheetView>
  </sheetViews>
  <sheetFormatPr defaultRowHeight="15"/>
  <cols>
    <col min="1" max="1" width="12.7109375" style="109" customWidth="1"/>
    <col min="2" max="2" width="12.85546875" style="109" customWidth="1"/>
    <col min="3" max="3" width="13.42578125" style="109" bestFit="1" customWidth="1"/>
    <col min="4" max="6" width="9.140625" style="109"/>
    <col min="7" max="7" width="13.42578125" style="109" bestFit="1" customWidth="1"/>
    <col min="8" max="9" width="9.140625" style="109"/>
    <col min="10" max="10" width="20.42578125" style="109" bestFit="1" customWidth="1"/>
    <col min="11" max="11" width="9.140625" style="109"/>
    <col min="12" max="12" width="9.5703125" style="109" bestFit="1" customWidth="1"/>
    <col min="13" max="13" width="17.42578125" style="109" bestFit="1" customWidth="1"/>
    <col min="14" max="14" width="12.7109375" style="109" bestFit="1" customWidth="1"/>
    <col min="15" max="15" width="10.28515625" style="109" customWidth="1"/>
    <col min="16" max="16" width="9.140625" style="109"/>
    <col min="17" max="17" width="20.28515625" style="109" bestFit="1" customWidth="1"/>
    <col min="18" max="16384" width="9.140625" style="109"/>
  </cols>
  <sheetData>
    <row r="2" spans="1:18">
      <c r="A2" s="127" t="s">
        <v>281</v>
      </c>
      <c r="B2" s="126"/>
      <c r="C2" s="125"/>
      <c r="F2" s="131" t="s">
        <v>280</v>
      </c>
      <c r="G2" s="132"/>
    </row>
    <row r="3" spans="1:18">
      <c r="A3" s="122" t="s">
        <v>279</v>
      </c>
      <c r="B3" s="124" t="s">
        <v>278</v>
      </c>
      <c r="C3" s="123" t="s">
        <v>277</v>
      </c>
      <c r="F3" s="122" t="s">
        <v>278</v>
      </c>
      <c r="G3" s="121" t="s">
        <v>277</v>
      </c>
    </row>
    <row r="4" spans="1:18">
      <c r="A4" s="114">
        <v>45018</v>
      </c>
      <c r="B4" s="113">
        <v>3496.1</v>
      </c>
      <c r="F4" s="113">
        <v>17599.150000000001</v>
      </c>
    </row>
    <row r="5" spans="1:18">
      <c r="A5" s="114">
        <v>45025</v>
      </c>
      <c r="B5" s="113">
        <v>3501.05</v>
      </c>
      <c r="C5" s="112">
        <f t="shared" ref="C5:C36" si="0">B5/B4-1</f>
        <v>1.4158633906353746E-3</v>
      </c>
      <c r="F5" s="113">
        <v>17828</v>
      </c>
      <c r="G5" s="112">
        <f t="shared" ref="G5:G36" si="1">F5/F4-1</f>
        <v>1.3003468917532901E-2</v>
      </c>
      <c r="J5" s="133" t="s">
        <v>276</v>
      </c>
      <c r="K5" s="133"/>
      <c r="L5" s="133"/>
    </row>
    <row r="6" spans="1:18">
      <c r="A6" s="114">
        <v>45032</v>
      </c>
      <c r="B6" s="113">
        <v>3455.9</v>
      </c>
      <c r="C6" s="112">
        <f t="shared" si="0"/>
        <v>-1.2896131160651803E-2</v>
      </c>
      <c r="F6" s="113">
        <v>17624.05</v>
      </c>
      <c r="G6" s="112">
        <f t="shared" si="1"/>
        <v>-1.143986986762402E-2</v>
      </c>
    </row>
    <row r="7" spans="1:18">
      <c r="A7" s="114">
        <v>45039</v>
      </c>
      <c r="B7" s="113">
        <v>3511.95</v>
      </c>
      <c r="C7" s="112">
        <f t="shared" si="0"/>
        <v>1.6218640585665023E-2</v>
      </c>
      <c r="F7" s="113">
        <v>18065</v>
      </c>
      <c r="G7" s="112">
        <f t="shared" si="1"/>
        <v>2.5019788300645995E-2</v>
      </c>
      <c r="J7" s="109" t="s">
        <v>275</v>
      </c>
      <c r="L7" s="117">
        <f>Q7</f>
        <v>1.0622810818741086</v>
      </c>
      <c r="O7" s="109" t="s">
        <v>274</v>
      </c>
      <c r="Q7" s="117">
        <f>SLOPE(C5:C108,G5:G108)</f>
        <v>1.0622810818741086</v>
      </c>
    </row>
    <row r="8" spans="1:18">
      <c r="A8" s="114">
        <v>45046</v>
      </c>
      <c r="B8" s="113">
        <v>3598.2</v>
      </c>
      <c r="C8" s="112">
        <f t="shared" si="0"/>
        <v>2.4559005680604873E-2</v>
      </c>
      <c r="F8" s="113">
        <v>18069</v>
      </c>
      <c r="G8" s="112">
        <f t="shared" si="1"/>
        <v>2.2142264046509652E-4</v>
      </c>
      <c r="J8" s="109" t="s">
        <v>273</v>
      </c>
      <c r="L8" s="119">
        <v>0.75</v>
      </c>
      <c r="O8" s="109" t="s">
        <v>272</v>
      </c>
      <c r="Q8" s="120">
        <f>COVAR(C5:C108,G5:G108)/VAR(G5:G108)</f>
        <v>1.052066840702242</v>
      </c>
      <c r="R8" s="109" t="s">
        <v>271</v>
      </c>
    </row>
    <row r="9" spans="1:18">
      <c r="A9" s="114">
        <v>45053</v>
      </c>
      <c r="B9" s="113">
        <v>3677.55</v>
      </c>
      <c r="C9" s="112">
        <f t="shared" si="0"/>
        <v>2.2052693013173252E-2</v>
      </c>
      <c r="F9" s="113">
        <v>18314.8</v>
      </c>
      <c r="G9" s="112">
        <f t="shared" si="1"/>
        <v>1.3603409153799317E-2</v>
      </c>
      <c r="J9" s="109" t="s">
        <v>270</v>
      </c>
      <c r="L9" s="109">
        <v>1</v>
      </c>
      <c r="O9" s="109" t="s">
        <v>269</v>
      </c>
      <c r="Q9" s="117">
        <f>N120</f>
        <v>1.0622810818741086</v>
      </c>
    </row>
    <row r="10" spans="1:18">
      <c r="A10" s="114">
        <v>45060</v>
      </c>
      <c r="B10" s="113">
        <v>3395.25</v>
      </c>
      <c r="C10" s="112">
        <f t="shared" si="0"/>
        <v>-7.6763062364889723E-2</v>
      </c>
      <c r="F10" s="113">
        <v>18203.400000000001</v>
      </c>
      <c r="G10" s="112">
        <f t="shared" si="1"/>
        <v>-6.0825125035489647E-3</v>
      </c>
      <c r="J10" s="109" t="s">
        <v>268</v>
      </c>
      <c r="L10" s="119">
        <v>0.25</v>
      </c>
    </row>
    <row r="11" spans="1:18">
      <c r="A11" s="114">
        <v>45067</v>
      </c>
      <c r="B11" s="113">
        <v>3501.75</v>
      </c>
      <c r="C11" s="112">
        <f t="shared" si="0"/>
        <v>3.1367351446874414E-2</v>
      </c>
      <c r="F11" s="113">
        <v>18499.349999999999</v>
      </c>
      <c r="G11" s="112">
        <f t="shared" si="1"/>
        <v>1.6257951811200044E-2</v>
      </c>
    </row>
    <row r="12" spans="1:18">
      <c r="A12" s="114">
        <v>45074</v>
      </c>
      <c r="B12" s="113">
        <v>3531.6</v>
      </c>
      <c r="C12" s="112">
        <f t="shared" si="0"/>
        <v>8.5243092739344384E-3</v>
      </c>
      <c r="F12" s="113">
        <v>18534.099999999999</v>
      </c>
      <c r="G12" s="112">
        <f t="shared" si="1"/>
        <v>1.8784443777755122E-3</v>
      </c>
      <c r="J12" s="118" t="s">
        <v>267</v>
      </c>
      <c r="L12" s="117">
        <f>(L7*L8)+(L10*L9)</f>
        <v>1.0467108114055814</v>
      </c>
    </row>
    <row r="13" spans="1:18">
      <c r="A13" s="114">
        <v>45081</v>
      </c>
      <c r="B13" s="113">
        <v>3632.1</v>
      </c>
      <c r="C13" s="112">
        <f t="shared" si="0"/>
        <v>2.8457356439007819E-2</v>
      </c>
      <c r="F13" s="113">
        <v>18563.400000000001</v>
      </c>
      <c r="G13" s="112">
        <f t="shared" si="1"/>
        <v>1.5808698561032841E-3</v>
      </c>
    </row>
    <row r="14" spans="1:18">
      <c r="A14" s="114">
        <v>45088</v>
      </c>
      <c r="B14" s="113">
        <v>4085.6</v>
      </c>
      <c r="C14" s="112">
        <f t="shared" si="0"/>
        <v>0.1248588970567992</v>
      </c>
      <c r="F14" s="113">
        <v>18826</v>
      </c>
      <c r="G14" s="112">
        <f t="shared" si="1"/>
        <v>1.4146115474535925E-2</v>
      </c>
    </row>
    <row r="15" spans="1:18">
      <c r="A15" s="114">
        <v>45095</v>
      </c>
      <c r="B15" s="113">
        <v>3744.05</v>
      </c>
      <c r="C15" s="112">
        <f t="shared" si="0"/>
        <v>-8.3598492265517854E-2</v>
      </c>
      <c r="F15" s="113">
        <v>18665.5</v>
      </c>
      <c r="G15" s="112">
        <f t="shared" si="1"/>
        <v>-8.5254435355359703E-3</v>
      </c>
    </row>
    <row r="16" spans="1:18">
      <c r="A16" s="114">
        <v>45102</v>
      </c>
      <c r="B16" s="113">
        <v>3889.2</v>
      </c>
      <c r="C16" s="112">
        <f t="shared" si="0"/>
        <v>3.8768178843765266E-2</v>
      </c>
      <c r="F16" s="113">
        <v>19189.05</v>
      </c>
      <c r="G16" s="112">
        <f t="shared" si="1"/>
        <v>2.8049074495727355E-2</v>
      </c>
    </row>
    <row r="17" spans="1:22">
      <c r="A17" s="114">
        <v>45109</v>
      </c>
      <c r="B17" s="113">
        <v>3808.95</v>
      </c>
      <c r="C17" s="112">
        <f t="shared" si="0"/>
        <v>-2.0634063560629468E-2</v>
      </c>
      <c r="F17" s="113">
        <v>19331.8</v>
      </c>
      <c r="G17" s="112">
        <f t="shared" si="1"/>
        <v>7.4391384669902916E-3</v>
      </c>
      <c r="J17" s="109" t="s">
        <v>266</v>
      </c>
    </row>
    <row r="18" spans="1:22">
      <c r="A18" s="114">
        <v>45116</v>
      </c>
      <c r="B18" s="113">
        <v>3838.75</v>
      </c>
      <c r="C18" s="112">
        <f t="shared" si="0"/>
        <v>7.8236784415652849E-3</v>
      </c>
      <c r="F18" s="113">
        <v>19564.5</v>
      </c>
      <c r="G18" s="112">
        <f t="shared" si="1"/>
        <v>1.2037161567986399E-2</v>
      </c>
    </row>
    <row r="19" spans="1:22" ht="15.75" thickBot="1">
      <c r="A19" s="114">
        <v>45123</v>
      </c>
      <c r="B19" s="113">
        <v>3675.7</v>
      </c>
      <c r="C19" s="112">
        <f t="shared" si="0"/>
        <v>-4.2474763920547054E-2</v>
      </c>
      <c r="F19" s="113">
        <v>19745</v>
      </c>
      <c r="G19" s="112">
        <f t="shared" si="1"/>
        <v>9.225893838329613E-3</v>
      </c>
      <c r="J19" s="116" t="s">
        <v>265</v>
      </c>
    </row>
    <row r="20" spans="1:22" ht="15.75" thickTop="1">
      <c r="A20" s="114">
        <v>45130</v>
      </c>
      <c r="B20" s="113">
        <v>3713.9</v>
      </c>
      <c r="C20" s="112">
        <f t="shared" si="0"/>
        <v>1.0392578284408538E-2</v>
      </c>
      <c r="F20" s="113">
        <v>19646.05</v>
      </c>
      <c r="G20" s="112">
        <f t="shared" si="1"/>
        <v>-5.0113952899468739E-3</v>
      </c>
    </row>
    <row r="21" spans="1:22">
      <c r="A21" s="114">
        <v>45137</v>
      </c>
      <c r="B21" s="113">
        <v>3652.1</v>
      </c>
      <c r="C21" s="112">
        <f t="shared" si="0"/>
        <v>-1.6640189558146501E-2</v>
      </c>
      <c r="F21" s="113">
        <v>19517</v>
      </c>
      <c r="G21" s="112">
        <f t="shared" si="1"/>
        <v>-6.568750461288575E-3</v>
      </c>
    </row>
    <row r="22" spans="1:22">
      <c r="A22" s="114">
        <v>45144</v>
      </c>
      <c r="B22" s="113">
        <v>3550.05</v>
      </c>
      <c r="C22" s="112">
        <f t="shared" si="0"/>
        <v>-2.7942827414364269E-2</v>
      </c>
      <c r="F22" s="113">
        <v>19428.3</v>
      </c>
      <c r="G22" s="112">
        <f t="shared" si="1"/>
        <v>-4.5447558538710409E-3</v>
      </c>
      <c r="Q22" s="109" t="s">
        <v>264</v>
      </c>
    </row>
    <row r="23" spans="1:22" ht="15.75" thickBot="1">
      <c r="A23" s="114">
        <v>45151</v>
      </c>
      <c r="B23" s="113">
        <v>3540.95</v>
      </c>
      <c r="C23" s="112">
        <f t="shared" si="0"/>
        <v>-2.5633441782511035E-3</v>
      </c>
      <c r="F23" s="113">
        <v>19310.150000000001</v>
      </c>
      <c r="G23" s="112">
        <f t="shared" si="1"/>
        <v>-6.0813349598265454E-3</v>
      </c>
    </row>
    <row r="24" spans="1:22">
      <c r="A24" s="114">
        <v>45158</v>
      </c>
      <c r="B24" s="113">
        <v>3534.6</v>
      </c>
      <c r="C24" s="112">
        <f t="shared" si="0"/>
        <v>-1.7933040568208769E-3</v>
      </c>
      <c r="F24" s="113">
        <v>19265.8</v>
      </c>
      <c r="G24" s="112">
        <f t="shared" si="1"/>
        <v>-2.2967196008317758E-3</v>
      </c>
      <c r="Q24" s="115" t="s">
        <v>263</v>
      </c>
      <c r="R24" s="115"/>
    </row>
    <row r="25" spans="1:22">
      <c r="A25" s="114">
        <v>45165</v>
      </c>
      <c r="B25" s="113">
        <v>3761.05</v>
      </c>
      <c r="C25" s="112">
        <f t="shared" si="0"/>
        <v>6.4066655349968915E-2</v>
      </c>
      <c r="F25" s="113">
        <v>19435.3</v>
      </c>
      <c r="G25" s="112">
        <f t="shared" si="1"/>
        <v>8.7979736112697715E-3</v>
      </c>
      <c r="Q25" s="109" t="s">
        <v>262</v>
      </c>
      <c r="R25" s="109">
        <v>0.41785323552732317</v>
      </c>
    </row>
    <row r="26" spans="1:22">
      <c r="A26" s="114">
        <v>45172</v>
      </c>
      <c r="B26" s="113">
        <v>3782.4</v>
      </c>
      <c r="C26" s="112">
        <f t="shared" si="0"/>
        <v>5.6766062668669459E-3</v>
      </c>
      <c r="F26" s="113">
        <v>19819.95</v>
      </c>
      <c r="G26" s="112">
        <f t="shared" si="1"/>
        <v>1.9791307569216876E-2</v>
      </c>
      <c r="Q26" s="109" t="s">
        <v>261</v>
      </c>
      <c r="R26" s="109">
        <v>0.17460132644065263</v>
      </c>
    </row>
    <row r="27" spans="1:22">
      <c r="A27" s="114">
        <v>45179</v>
      </c>
      <c r="B27" s="113">
        <v>3796</v>
      </c>
      <c r="C27" s="112">
        <f t="shared" si="0"/>
        <v>3.5956006768189663E-3</v>
      </c>
      <c r="F27" s="113">
        <v>20192.349999999999</v>
      </c>
      <c r="G27" s="112">
        <f t="shared" si="1"/>
        <v>1.8789149316723597E-2</v>
      </c>
      <c r="Q27" s="109" t="s">
        <v>260</v>
      </c>
      <c r="R27" s="109">
        <v>0.16650918258222766</v>
      </c>
    </row>
    <row r="28" spans="1:22">
      <c r="A28" s="114">
        <v>45186</v>
      </c>
      <c r="B28" s="113">
        <v>3689.1</v>
      </c>
      <c r="C28" s="112">
        <f t="shared" si="0"/>
        <v>-2.8161222339304515E-2</v>
      </c>
      <c r="F28" s="113">
        <v>19674.25</v>
      </c>
      <c r="G28" s="112">
        <f t="shared" si="1"/>
        <v>-2.5658231954180599E-2</v>
      </c>
      <c r="Q28" s="109" t="s">
        <v>249</v>
      </c>
      <c r="R28" s="109">
        <v>3.7973142738656963E-2</v>
      </c>
    </row>
    <row r="29" spans="1:22" ht="15.75" thickBot="1">
      <c r="A29" s="114">
        <v>45193</v>
      </c>
      <c r="B29" s="113">
        <v>3675.6</v>
      </c>
      <c r="C29" s="112">
        <f t="shared" si="0"/>
        <v>-3.6594291290558134E-3</v>
      </c>
      <c r="F29" s="113">
        <v>19638.3</v>
      </c>
      <c r="G29" s="112">
        <f t="shared" si="1"/>
        <v>-1.8272615220402688E-3</v>
      </c>
      <c r="Q29" s="110" t="s">
        <v>259</v>
      </c>
      <c r="R29" s="110">
        <v>104</v>
      </c>
    </row>
    <row r="30" spans="1:22">
      <c r="A30" s="114">
        <v>45200</v>
      </c>
      <c r="B30" s="113">
        <v>3833.95</v>
      </c>
      <c r="C30" s="112">
        <f t="shared" si="0"/>
        <v>4.3081401675916897E-2</v>
      </c>
      <c r="F30" s="113">
        <v>19653.5</v>
      </c>
      <c r="G30" s="112">
        <f t="shared" si="1"/>
        <v>7.7399774929598486E-4</v>
      </c>
    </row>
    <row r="31" spans="1:22" ht="15.75" thickBot="1">
      <c r="A31" s="114">
        <v>45207</v>
      </c>
      <c r="B31" s="113">
        <v>3935.85</v>
      </c>
      <c r="C31" s="112">
        <f t="shared" si="0"/>
        <v>2.6578333050770064E-2</v>
      </c>
      <c r="F31" s="113">
        <v>19751.05</v>
      </c>
      <c r="G31" s="112">
        <f t="shared" si="1"/>
        <v>4.9634925076957881E-3</v>
      </c>
      <c r="Q31" s="109" t="s">
        <v>258</v>
      </c>
    </row>
    <row r="32" spans="1:22">
      <c r="A32" s="114">
        <v>45214</v>
      </c>
      <c r="B32" s="113">
        <v>3749.5</v>
      </c>
      <c r="C32" s="112">
        <f t="shared" si="0"/>
        <v>-4.7346824701144596E-2</v>
      </c>
      <c r="F32" s="113">
        <v>19542.650000000001</v>
      </c>
      <c r="G32" s="112">
        <f t="shared" si="1"/>
        <v>-1.0551337776978809E-2</v>
      </c>
      <c r="Q32" s="111"/>
      <c r="R32" s="111" t="s">
        <v>257</v>
      </c>
      <c r="S32" s="111" t="s">
        <v>256</v>
      </c>
      <c r="T32" s="111" t="s">
        <v>255</v>
      </c>
      <c r="U32" s="111" t="s">
        <v>254</v>
      </c>
      <c r="V32" s="111" t="s">
        <v>253</v>
      </c>
    </row>
    <row r="33" spans="1:25">
      <c r="A33" s="114">
        <v>45221</v>
      </c>
      <c r="B33" s="113">
        <v>3665.45</v>
      </c>
      <c r="C33" s="112">
        <f t="shared" si="0"/>
        <v>-2.2416322176290193E-2</v>
      </c>
      <c r="F33" s="113">
        <v>19047.25</v>
      </c>
      <c r="G33" s="112">
        <f t="shared" si="1"/>
        <v>-2.5349683896503383E-2</v>
      </c>
      <c r="Q33" s="109" t="s">
        <v>252</v>
      </c>
      <c r="R33" s="109">
        <v>1</v>
      </c>
      <c r="S33" s="109">
        <v>3.1112651715615725E-2</v>
      </c>
      <c r="T33" s="109">
        <v>3.1112651715615725E-2</v>
      </c>
      <c r="U33" s="109">
        <v>21.576646373985298</v>
      </c>
      <c r="V33" s="109">
        <v>1.017394746751788E-5</v>
      </c>
    </row>
    <row r="34" spans="1:25">
      <c r="A34" s="114">
        <v>45228</v>
      </c>
      <c r="B34" s="113">
        <v>3649.7</v>
      </c>
      <c r="C34" s="112">
        <f t="shared" si="0"/>
        <v>-4.2968803284726409E-3</v>
      </c>
      <c r="F34" s="113">
        <v>19230.599999999999</v>
      </c>
      <c r="G34" s="112">
        <f t="shared" si="1"/>
        <v>9.6260615049414966E-3</v>
      </c>
      <c r="Q34" s="109" t="s">
        <v>251</v>
      </c>
      <c r="R34" s="109">
        <v>102</v>
      </c>
      <c r="S34" s="109">
        <v>0.14707987608394243</v>
      </c>
      <c r="T34" s="109">
        <v>1.4419595694504161E-3</v>
      </c>
    </row>
    <row r="35" spans="1:25" ht="15.75" thickBot="1">
      <c r="A35" s="114">
        <v>45235</v>
      </c>
      <c r="B35" s="113">
        <v>3798.4</v>
      </c>
      <c r="C35" s="112">
        <f t="shared" si="0"/>
        <v>4.0743074773269106E-2</v>
      </c>
      <c r="F35" s="113">
        <v>19425.349999999999</v>
      </c>
      <c r="G35" s="112">
        <f t="shared" si="1"/>
        <v>1.0127089118384225E-2</v>
      </c>
      <c r="Q35" s="110" t="s">
        <v>14</v>
      </c>
      <c r="R35" s="110">
        <v>103</v>
      </c>
      <c r="S35" s="110">
        <v>0.17819252779955816</v>
      </c>
      <c r="T35" s="110"/>
      <c r="U35" s="110"/>
      <c r="V35" s="110"/>
    </row>
    <row r="36" spans="1:25" ht="15.75" thickBot="1">
      <c r="A36" s="114">
        <v>45242</v>
      </c>
      <c r="B36" s="113">
        <v>3810.9</v>
      </c>
      <c r="C36" s="112">
        <f t="shared" si="0"/>
        <v>3.2908593091827143E-3</v>
      </c>
      <c r="F36" s="113">
        <v>19731.8</v>
      </c>
      <c r="G36" s="112">
        <f t="shared" si="1"/>
        <v>1.5775777527818002E-2</v>
      </c>
    </row>
    <row r="37" spans="1:25">
      <c r="A37" s="114">
        <v>45249</v>
      </c>
      <c r="B37" s="113">
        <v>3842.9</v>
      </c>
      <c r="C37" s="112">
        <f t="shared" ref="C37:C68" si="2">B37/B36-1</f>
        <v>8.3969665958172346E-3</v>
      </c>
      <c r="F37" s="113">
        <v>19794.7</v>
      </c>
      <c r="G37" s="112">
        <f t="shared" ref="G37:G68" si="3">F37/F36-1</f>
        <v>3.1877476966115648E-3</v>
      </c>
      <c r="Q37" s="111"/>
      <c r="R37" s="111" t="s">
        <v>250</v>
      </c>
      <c r="S37" s="111" t="s">
        <v>249</v>
      </c>
      <c r="T37" s="111" t="s">
        <v>248</v>
      </c>
      <c r="U37" s="111" t="s">
        <v>247</v>
      </c>
      <c r="V37" s="111" t="s">
        <v>246</v>
      </c>
      <c r="W37" s="111" t="s">
        <v>245</v>
      </c>
      <c r="X37" s="111" t="s">
        <v>244</v>
      </c>
      <c r="Y37" s="111" t="s">
        <v>243</v>
      </c>
    </row>
    <row r="38" spans="1:25">
      <c r="A38" s="114">
        <v>45256</v>
      </c>
      <c r="B38" s="113">
        <v>3988.4</v>
      </c>
      <c r="C38" s="112">
        <f t="shared" si="2"/>
        <v>3.7862031278461661E-2</v>
      </c>
      <c r="F38" s="113">
        <v>20267.900000000001</v>
      </c>
      <c r="G38" s="112">
        <f t="shared" si="3"/>
        <v>2.3905388816198414E-2</v>
      </c>
      <c r="Q38" s="109" t="s">
        <v>242</v>
      </c>
      <c r="R38" s="109">
        <v>-5.899394735245202E-4</v>
      </c>
      <c r="S38" s="109">
        <v>3.773293878918543E-3</v>
      </c>
      <c r="T38" s="109">
        <v>-0.15634601821515204</v>
      </c>
      <c r="U38" s="109">
        <v>0.87606931377089758</v>
      </c>
      <c r="V38" s="109">
        <v>-8.0742497879265282E-3</v>
      </c>
      <c r="W38" s="109">
        <v>6.8943708408774887E-3</v>
      </c>
      <c r="X38" s="109">
        <v>-8.0742497879265282E-3</v>
      </c>
      <c r="Y38" s="109">
        <v>6.8943708408774887E-3</v>
      </c>
    </row>
    <row r="39" spans="1:25" ht="15.75" thickBot="1">
      <c r="A39" s="114">
        <v>45263</v>
      </c>
      <c r="B39" s="113">
        <v>4070.65</v>
      </c>
      <c r="C39" s="112">
        <f t="shared" si="2"/>
        <v>2.0622304683582282E-2</v>
      </c>
      <c r="F39" s="113">
        <v>20969.400000000001</v>
      </c>
      <c r="G39" s="112">
        <f t="shared" si="3"/>
        <v>3.4611380557433069E-2</v>
      </c>
      <c r="Q39" s="110" t="s">
        <v>241</v>
      </c>
      <c r="R39" s="110">
        <v>1.0622810818741086</v>
      </c>
      <c r="S39" s="110">
        <v>0.2286901583938292</v>
      </c>
      <c r="T39" s="110">
        <v>4.6450668858462452</v>
      </c>
      <c r="U39" s="110">
        <v>1.0173947467517868E-5</v>
      </c>
      <c r="V39" s="110">
        <v>0.6086752493594888</v>
      </c>
      <c r="W39" s="110">
        <v>1.5158869143887286</v>
      </c>
      <c r="X39" s="110">
        <v>0.6086752493594888</v>
      </c>
      <c r="Y39" s="110">
        <v>1.5158869143887286</v>
      </c>
    </row>
    <row r="40" spans="1:25">
      <c r="A40" s="114">
        <v>45270</v>
      </c>
      <c r="B40" s="113">
        <v>4045.65</v>
      </c>
      <c r="C40" s="112">
        <f t="shared" si="2"/>
        <v>-6.1415253092258482E-3</v>
      </c>
      <c r="F40" s="113">
        <v>21456.65</v>
      </c>
      <c r="G40" s="112">
        <f t="shared" si="3"/>
        <v>2.3236239472755438E-2</v>
      </c>
    </row>
    <row r="41" spans="1:25">
      <c r="A41" s="114">
        <v>45277</v>
      </c>
      <c r="B41" s="113">
        <v>4007.95</v>
      </c>
      <c r="C41" s="112">
        <f t="shared" si="2"/>
        <v>-9.3186508966421888E-3</v>
      </c>
      <c r="F41" s="113">
        <v>21349.4</v>
      </c>
      <c r="G41" s="112">
        <f t="shared" si="3"/>
        <v>-4.9984503638732525E-3</v>
      </c>
    </row>
    <row r="42" spans="1:25">
      <c r="A42" s="114">
        <v>45284</v>
      </c>
      <c r="B42" s="113">
        <v>4082.65</v>
      </c>
      <c r="C42" s="112">
        <f t="shared" si="2"/>
        <v>1.8637957060342547E-2</v>
      </c>
      <c r="F42" s="113">
        <v>21731.4</v>
      </c>
      <c r="G42" s="112">
        <f t="shared" si="3"/>
        <v>1.7892774504201459E-2</v>
      </c>
    </row>
    <row r="43" spans="1:25">
      <c r="A43" s="114">
        <v>45291</v>
      </c>
      <c r="B43" s="113">
        <v>3863.5</v>
      </c>
      <c r="C43" s="112">
        <f t="shared" si="2"/>
        <v>-5.3678370666111475E-2</v>
      </c>
      <c r="F43" s="113">
        <v>21710.799999999999</v>
      </c>
      <c r="G43" s="112">
        <f t="shared" si="3"/>
        <v>-9.479370864280412E-4</v>
      </c>
    </row>
    <row r="44" spans="1:25">
      <c r="A44" s="114">
        <v>45298</v>
      </c>
      <c r="B44" s="113">
        <v>3841</v>
      </c>
      <c r="C44" s="112">
        <f t="shared" si="2"/>
        <v>-5.8237349553513784E-3</v>
      </c>
      <c r="F44" s="113">
        <v>21894.55</v>
      </c>
      <c r="G44" s="112">
        <f t="shared" si="3"/>
        <v>8.4635296718684749E-3</v>
      </c>
    </row>
    <row r="45" spans="1:25">
      <c r="A45" s="114">
        <v>45305</v>
      </c>
      <c r="B45" s="113">
        <v>3731.7</v>
      </c>
      <c r="C45" s="112">
        <f t="shared" si="2"/>
        <v>-2.8456131215829239E-2</v>
      </c>
      <c r="F45" s="113">
        <v>21622.400000000001</v>
      </c>
      <c r="G45" s="112">
        <f t="shared" si="3"/>
        <v>-1.2430033958222397E-2</v>
      </c>
    </row>
    <row r="46" spans="1:25">
      <c r="A46" s="114">
        <v>45312</v>
      </c>
      <c r="B46" s="113">
        <v>3734.25</v>
      </c>
      <c r="C46" s="112">
        <f t="shared" si="2"/>
        <v>6.8333467320536023E-4</v>
      </c>
      <c r="F46" s="113">
        <v>21352.6</v>
      </c>
      <c r="G46" s="112">
        <f t="shared" si="3"/>
        <v>-1.2477800799171379E-2</v>
      </c>
    </row>
    <row r="47" spans="1:25">
      <c r="A47" s="114">
        <v>45319</v>
      </c>
      <c r="B47" s="113">
        <v>3784.3</v>
      </c>
      <c r="C47" s="112">
        <f t="shared" si="2"/>
        <v>1.3402959094865219E-2</v>
      </c>
      <c r="F47" s="113">
        <v>21853.8</v>
      </c>
      <c r="G47" s="112">
        <f t="shared" si="3"/>
        <v>2.3472551352060167E-2</v>
      </c>
    </row>
    <row r="48" spans="1:25">
      <c r="A48" s="114">
        <v>45326</v>
      </c>
      <c r="B48" s="113">
        <v>3719.2</v>
      </c>
      <c r="C48" s="112">
        <f t="shared" si="2"/>
        <v>-1.720265306661739E-2</v>
      </c>
      <c r="F48" s="113">
        <v>21782.5</v>
      </c>
      <c r="G48" s="112">
        <f t="shared" si="3"/>
        <v>-3.2625904876955047E-3</v>
      </c>
    </row>
    <row r="49" spans="1:7">
      <c r="A49" s="114">
        <v>45333</v>
      </c>
      <c r="B49" s="113">
        <v>3693.3</v>
      </c>
      <c r="C49" s="112">
        <f t="shared" si="2"/>
        <v>-6.9638631963861997E-3</v>
      </c>
      <c r="F49" s="113">
        <v>22040.7</v>
      </c>
      <c r="G49" s="112">
        <f t="shared" si="3"/>
        <v>1.1853552163433978E-2</v>
      </c>
    </row>
    <row r="50" spans="1:7">
      <c r="A50" s="114">
        <v>45340</v>
      </c>
      <c r="B50" s="113">
        <v>3840.55</v>
      </c>
      <c r="C50" s="112">
        <f t="shared" si="2"/>
        <v>3.9869493406980094E-2</v>
      </c>
      <c r="F50" s="113">
        <v>22212.7</v>
      </c>
      <c r="G50" s="112">
        <f t="shared" si="3"/>
        <v>7.8037448901351336E-3</v>
      </c>
    </row>
    <row r="51" spans="1:7">
      <c r="A51" s="114">
        <v>45347</v>
      </c>
      <c r="B51" s="113">
        <v>3884.15</v>
      </c>
      <c r="C51" s="112">
        <f t="shared" si="2"/>
        <v>1.1352540651729637E-2</v>
      </c>
      <c r="F51" s="113">
        <v>22338.75</v>
      </c>
      <c r="G51" s="112">
        <f t="shared" si="3"/>
        <v>5.6746816010659895E-3</v>
      </c>
    </row>
    <row r="52" spans="1:7">
      <c r="A52" s="114">
        <v>45354</v>
      </c>
      <c r="B52" s="113">
        <v>3925.95</v>
      </c>
      <c r="C52" s="112">
        <f t="shared" si="2"/>
        <v>1.076168531081434E-2</v>
      </c>
      <c r="F52" s="113">
        <v>22493.55</v>
      </c>
      <c r="G52" s="112">
        <f t="shared" si="3"/>
        <v>6.929662581836471E-3</v>
      </c>
    </row>
    <row r="53" spans="1:7">
      <c r="A53" s="114">
        <v>45361</v>
      </c>
      <c r="B53" s="113">
        <v>3932.1</v>
      </c>
      <c r="C53" s="112">
        <f t="shared" si="2"/>
        <v>1.5664998280671139E-3</v>
      </c>
      <c r="F53" s="113">
        <v>22023.35</v>
      </c>
      <c r="G53" s="112">
        <f t="shared" si="3"/>
        <v>-2.0903770191899484E-2</v>
      </c>
    </row>
    <row r="54" spans="1:7">
      <c r="A54" s="114">
        <v>45368</v>
      </c>
      <c r="B54" s="113">
        <v>4297.6000000000004</v>
      </c>
      <c r="C54" s="112">
        <f t="shared" si="2"/>
        <v>9.2952875054042483E-2</v>
      </c>
      <c r="F54" s="113">
        <v>22096.75</v>
      </c>
      <c r="G54" s="112">
        <f t="shared" si="3"/>
        <v>3.3328262957270649E-3</v>
      </c>
    </row>
    <row r="55" spans="1:7">
      <c r="A55" s="114">
        <v>45375</v>
      </c>
      <c r="B55" s="113">
        <v>4525.6000000000004</v>
      </c>
      <c r="C55" s="112">
        <f t="shared" si="2"/>
        <v>5.3052866716306823E-2</v>
      </c>
      <c r="F55" s="113">
        <v>22326.9</v>
      </c>
      <c r="G55" s="112">
        <f t="shared" si="3"/>
        <v>1.0415558849152129E-2</v>
      </c>
    </row>
    <row r="56" spans="1:7">
      <c r="A56" s="114">
        <v>45382</v>
      </c>
      <c r="B56" s="113">
        <v>4619.25</v>
      </c>
      <c r="C56" s="112">
        <f t="shared" si="2"/>
        <v>2.0693388721937378E-2</v>
      </c>
      <c r="F56" s="113">
        <v>22513.7</v>
      </c>
      <c r="G56" s="112">
        <f t="shared" si="3"/>
        <v>8.3665891816597782E-3</v>
      </c>
    </row>
    <row r="57" spans="1:7">
      <c r="A57" s="114">
        <v>45389</v>
      </c>
      <c r="B57" s="113">
        <v>4765.05</v>
      </c>
      <c r="C57" s="112">
        <f t="shared" si="2"/>
        <v>3.1563565513882175E-2</v>
      </c>
      <c r="F57" s="113">
        <v>22519.4</v>
      </c>
      <c r="G57" s="112">
        <f t="shared" si="3"/>
        <v>2.5317917534661838E-4</v>
      </c>
    </row>
    <row r="58" spans="1:7">
      <c r="A58" s="114">
        <v>45396</v>
      </c>
      <c r="B58" s="113">
        <v>4696</v>
      </c>
      <c r="C58" s="112">
        <f t="shared" si="2"/>
        <v>-1.4490928741566211E-2</v>
      </c>
      <c r="F58" s="113">
        <v>22147</v>
      </c>
      <c r="G58" s="112">
        <f t="shared" si="3"/>
        <v>-1.6536852669254087E-2</v>
      </c>
    </row>
    <row r="59" spans="1:7">
      <c r="A59" s="114">
        <v>45403</v>
      </c>
      <c r="B59" s="113">
        <v>4553.1499999999996</v>
      </c>
      <c r="C59" s="112">
        <f t="shared" si="2"/>
        <v>-3.0419505962521409E-2</v>
      </c>
      <c r="F59" s="113">
        <v>22419.95</v>
      </c>
      <c r="G59" s="112">
        <f t="shared" si="3"/>
        <v>1.2324468325281002E-2</v>
      </c>
    </row>
    <row r="60" spans="1:7">
      <c r="A60" s="114">
        <v>45410</v>
      </c>
      <c r="B60" s="113">
        <v>4612.3500000000004</v>
      </c>
      <c r="C60" s="112">
        <f t="shared" si="2"/>
        <v>1.300198763493432E-2</v>
      </c>
      <c r="F60" s="113">
        <v>22475.85</v>
      </c>
      <c r="G60" s="112">
        <f t="shared" si="3"/>
        <v>2.4933151055197555E-3</v>
      </c>
    </row>
    <row r="61" spans="1:7">
      <c r="A61" s="114">
        <v>45417</v>
      </c>
      <c r="B61" s="113">
        <v>4796.8</v>
      </c>
      <c r="C61" s="112">
        <f t="shared" si="2"/>
        <v>3.9990460394375926E-2</v>
      </c>
      <c r="F61" s="113">
        <v>22055.200000000001</v>
      </c>
      <c r="G61" s="112">
        <f t="shared" si="3"/>
        <v>-1.8715643679771743E-2</v>
      </c>
    </row>
    <row r="62" spans="1:7">
      <c r="A62" s="114">
        <v>45424</v>
      </c>
      <c r="B62" s="113">
        <v>4682.8999999999996</v>
      </c>
      <c r="C62" s="112">
        <f t="shared" si="2"/>
        <v>-2.3744996664443074E-2</v>
      </c>
      <c r="F62" s="113">
        <v>22466.1</v>
      </c>
      <c r="G62" s="112">
        <f t="shared" si="3"/>
        <v>1.8630527041241907E-2</v>
      </c>
    </row>
    <row r="63" spans="1:7">
      <c r="A63" s="114">
        <v>45431</v>
      </c>
      <c r="B63" s="113">
        <v>4684.5</v>
      </c>
      <c r="C63" s="112">
        <f t="shared" si="2"/>
        <v>3.4166862414330978E-4</v>
      </c>
      <c r="F63" s="113">
        <v>22957.1</v>
      </c>
      <c r="G63" s="112">
        <f t="shared" si="3"/>
        <v>2.1855150649200406E-2</v>
      </c>
    </row>
    <row r="64" spans="1:7">
      <c r="A64" s="114">
        <v>45438</v>
      </c>
      <c r="B64" s="113">
        <v>4302.1499999999996</v>
      </c>
      <c r="C64" s="112">
        <f t="shared" si="2"/>
        <v>-8.1620236951649106E-2</v>
      </c>
      <c r="F64" s="113">
        <v>22530.7</v>
      </c>
      <c r="G64" s="112">
        <f t="shared" si="3"/>
        <v>-1.8573774562117951E-2</v>
      </c>
    </row>
    <row r="65" spans="1:7">
      <c r="A65" s="114">
        <v>45445</v>
      </c>
      <c r="B65" s="113">
        <v>4747.25</v>
      </c>
      <c r="C65" s="112">
        <f t="shared" si="2"/>
        <v>0.10345989795799793</v>
      </c>
      <c r="F65" s="113">
        <v>23290.15</v>
      </c>
      <c r="G65" s="112">
        <f t="shared" si="3"/>
        <v>3.3707341538434354E-2</v>
      </c>
    </row>
    <row r="66" spans="1:7">
      <c r="A66" s="114">
        <v>45452</v>
      </c>
      <c r="B66" s="113">
        <v>4739.95</v>
      </c>
      <c r="C66" s="112">
        <f t="shared" si="2"/>
        <v>-1.5377323713728908E-3</v>
      </c>
      <c r="F66" s="113">
        <v>23465.599999999999</v>
      </c>
      <c r="G66" s="112">
        <f t="shared" si="3"/>
        <v>7.5332275661599279E-3</v>
      </c>
    </row>
    <row r="67" spans="1:7">
      <c r="A67" s="114">
        <v>45459</v>
      </c>
      <c r="B67" s="113">
        <v>4804.8500000000004</v>
      </c>
      <c r="C67" s="112">
        <f t="shared" si="2"/>
        <v>1.3692127554088218E-2</v>
      </c>
      <c r="F67" s="113">
        <v>23501.1</v>
      </c>
      <c r="G67" s="112">
        <f t="shared" si="3"/>
        <v>1.5128528569481325E-3</v>
      </c>
    </row>
    <row r="68" spans="1:7">
      <c r="A68" s="114">
        <v>45466</v>
      </c>
      <c r="B68" s="113">
        <v>4716.75</v>
      </c>
      <c r="C68" s="112">
        <f t="shared" si="2"/>
        <v>-1.8335640030386013E-2</v>
      </c>
      <c r="F68" s="113">
        <v>24010.6</v>
      </c>
      <c r="G68" s="112">
        <f t="shared" si="3"/>
        <v>2.1679836262983532E-2</v>
      </c>
    </row>
    <row r="69" spans="1:7">
      <c r="A69" s="114">
        <v>45473</v>
      </c>
      <c r="B69" s="113">
        <v>4853.1000000000004</v>
      </c>
      <c r="C69" s="112">
        <f t="shared" ref="C69:C100" si="4">B69/B68-1</f>
        <v>2.8907616473207165E-2</v>
      </c>
      <c r="F69" s="113">
        <v>24323.85</v>
      </c>
      <c r="G69" s="112">
        <f t="shared" ref="G69:G100" si="5">F69/F68-1</f>
        <v>1.3046321208133094E-2</v>
      </c>
    </row>
    <row r="70" spans="1:7">
      <c r="A70" s="114">
        <v>45480</v>
      </c>
      <c r="B70" s="113">
        <v>4943.6499999999996</v>
      </c>
      <c r="C70" s="112">
        <f t="shared" si="4"/>
        <v>1.865817724753227E-2</v>
      </c>
      <c r="F70" s="113">
        <v>24502.15</v>
      </c>
      <c r="G70" s="112">
        <f t="shared" si="5"/>
        <v>7.3302540510651326E-3</v>
      </c>
    </row>
    <row r="71" spans="1:7">
      <c r="A71" s="114">
        <v>45487</v>
      </c>
      <c r="B71" s="113">
        <v>5010.7</v>
      </c>
      <c r="C71" s="112">
        <f t="shared" si="4"/>
        <v>1.3562853357337312E-2</v>
      </c>
      <c r="F71" s="113">
        <v>24530.9</v>
      </c>
      <c r="G71" s="112">
        <f t="shared" si="5"/>
        <v>1.1733664188653403E-3</v>
      </c>
    </row>
    <row r="72" spans="1:7">
      <c r="A72" s="114">
        <v>45494</v>
      </c>
      <c r="B72" s="113">
        <v>5071.6000000000004</v>
      </c>
      <c r="C72" s="112">
        <f t="shared" si="4"/>
        <v>1.2153990460414876E-2</v>
      </c>
      <c r="F72" s="113">
        <v>24834.85</v>
      </c>
      <c r="G72" s="112">
        <f t="shared" si="5"/>
        <v>1.2390495252925682E-2</v>
      </c>
    </row>
    <row r="73" spans="1:7">
      <c r="A73" s="114">
        <v>45501</v>
      </c>
      <c r="B73" s="113">
        <v>4909.7</v>
      </c>
      <c r="C73" s="112">
        <f t="shared" si="4"/>
        <v>-3.1922864579225552E-2</v>
      </c>
      <c r="F73" s="113">
        <v>24717.7</v>
      </c>
      <c r="G73" s="112">
        <f t="shared" si="5"/>
        <v>-4.7171615693268887E-3</v>
      </c>
    </row>
    <row r="74" spans="1:7">
      <c r="A74" s="114">
        <v>45508</v>
      </c>
      <c r="B74" s="113">
        <v>4989.95</v>
      </c>
      <c r="C74" s="112">
        <f t="shared" si="4"/>
        <v>1.6345194207385338E-2</v>
      </c>
      <c r="F74" s="113">
        <v>24367.5</v>
      </c>
      <c r="G74" s="112">
        <f t="shared" si="5"/>
        <v>-1.4167984885325113E-2</v>
      </c>
    </row>
    <row r="75" spans="1:7">
      <c r="A75" s="114">
        <v>45515</v>
      </c>
      <c r="B75" s="113">
        <v>5021.3</v>
      </c>
      <c r="C75" s="112">
        <f t="shared" si="4"/>
        <v>6.2826280824457292E-3</v>
      </c>
      <c r="F75" s="113">
        <v>24541.15</v>
      </c>
      <c r="G75" s="112">
        <f t="shared" si="5"/>
        <v>7.1262952703396998E-3</v>
      </c>
    </row>
    <row r="76" spans="1:7">
      <c r="A76" s="114">
        <v>45522</v>
      </c>
      <c r="B76" s="113">
        <v>4901.5</v>
      </c>
      <c r="C76" s="112">
        <f t="shared" si="4"/>
        <v>-2.3858363372035174E-2</v>
      </c>
      <c r="F76" s="113">
        <v>24823.15</v>
      </c>
      <c r="G76" s="112">
        <f t="shared" si="5"/>
        <v>1.1490904052988471E-2</v>
      </c>
    </row>
    <row r="77" spans="1:7">
      <c r="A77" s="114">
        <v>45529</v>
      </c>
      <c r="B77" s="113">
        <v>4927.45</v>
      </c>
      <c r="C77" s="112">
        <f t="shared" si="4"/>
        <v>5.2942976639804851E-3</v>
      </c>
      <c r="F77" s="113">
        <v>25235.9</v>
      </c>
      <c r="G77" s="112">
        <f t="shared" si="5"/>
        <v>1.6627623810837822E-2</v>
      </c>
    </row>
    <row r="78" spans="1:7">
      <c r="A78" s="114">
        <v>45536</v>
      </c>
      <c r="B78" s="113">
        <v>5303.45</v>
      </c>
      <c r="C78" s="112">
        <f t="shared" si="4"/>
        <v>7.630721772925142E-2</v>
      </c>
      <c r="F78" s="113">
        <v>24852.15</v>
      </c>
      <c r="G78" s="112">
        <f t="shared" si="5"/>
        <v>-1.5206511358818231E-2</v>
      </c>
    </row>
    <row r="79" spans="1:7">
      <c r="A79" s="114">
        <v>45543</v>
      </c>
      <c r="B79" s="113">
        <v>5187.05</v>
      </c>
      <c r="C79" s="112">
        <f t="shared" si="4"/>
        <v>-2.194797726008535E-2</v>
      </c>
      <c r="F79" s="113">
        <v>25356.5</v>
      </c>
      <c r="G79" s="112">
        <f t="shared" si="5"/>
        <v>2.0294018827344829E-2</v>
      </c>
    </row>
    <row r="80" spans="1:7">
      <c r="A80" s="114">
        <v>45550</v>
      </c>
      <c r="B80" s="113">
        <v>5320.55</v>
      </c>
      <c r="C80" s="112">
        <f t="shared" si="4"/>
        <v>2.5737172381218532E-2</v>
      </c>
      <c r="F80" s="113">
        <v>25790.95</v>
      </c>
      <c r="G80" s="112">
        <f t="shared" si="5"/>
        <v>1.7133673811448702E-2</v>
      </c>
    </row>
    <row r="81" spans="1:7">
      <c r="A81" s="114">
        <v>45557</v>
      </c>
      <c r="B81" s="113">
        <v>5102.3</v>
      </c>
      <c r="C81" s="112">
        <f t="shared" si="4"/>
        <v>-4.102019528056311E-2</v>
      </c>
      <c r="F81" s="113">
        <v>26178.95</v>
      </c>
      <c r="G81" s="112">
        <f t="shared" si="5"/>
        <v>1.5044036764834123E-2</v>
      </c>
    </row>
    <row r="82" spans="1:7">
      <c r="A82" s="114">
        <v>45564</v>
      </c>
      <c r="B82" s="113">
        <v>4737.55</v>
      </c>
      <c r="C82" s="112">
        <f t="shared" si="4"/>
        <v>-7.148736844168313E-2</v>
      </c>
      <c r="F82" s="113">
        <v>25014.6</v>
      </c>
      <c r="G82" s="112">
        <f t="shared" si="5"/>
        <v>-4.4476573735768743E-2</v>
      </c>
    </row>
    <row r="83" spans="1:7">
      <c r="A83" s="114">
        <v>45571</v>
      </c>
      <c r="B83" s="113">
        <v>4572.7</v>
      </c>
      <c r="C83" s="112">
        <f t="shared" si="4"/>
        <v>-3.479646652805779E-2</v>
      </c>
      <c r="F83" s="113">
        <v>24964.25</v>
      </c>
      <c r="G83" s="112">
        <f t="shared" si="5"/>
        <v>-2.0128245104857889E-3</v>
      </c>
    </row>
    <row r="84" spans="1:7">
      <c r="A84" s="114">
        <v>45578</v>
      </c>
      <c r="B84" s="113">
        <v>3986.7</v>
      </c>
      <c r="C84" s="112">
        <f t="shared" si="4"/>
        <v>-0.12815185776455928</v>
      </c>
      <c r="F84" s="113">
        <v>24854.05</v>
      </c>
      <c r="G84" s="112">
        <f t="shared" si="5"/>
        <v>-4.4143124668275524E-3</v>
      </c>
    </row>
    <row r="85" spans="1:7">
      <c r="A85" s="114">
        <v>45585</v>
      </c>
      <c r="B85" s="113">
        <v>4052.2</v>
      </c>
      <c r="C85" s="112">
        <f t="shared" si="4"/>
        <v>1.6429628514811778E-2</v>
      </c>
      <c r="F85" s="113">
        <v>24180.799999999999</v>
      </c>
      <c r="G85" s="112">
        <f t="shared" si="5"/>
        <v>-2.7088140564616281E-2</v>
      </c>
    </row>
    <row r="86" spans="1:7">
      <c r="A86" s="114">
        <v>45592</v>
      </c>
      <c r="B86" s="113">
        <v>4001.6</v>
      </c>
      <c r="C86" s="112">
        <f t="shared" si="4"/>
        <v>-1.2487044074823483E-2</v>
      </c>
      <c r="F86" s="113">
        <v>24304.35</v>
      </c>
      <c r="G86" s="112">
        <f t="shared" si="5"/>
        <v>5.1094256600276999E-3</v>
      </c>
    </row>
    <row r="87" spans="1:7">
      <c r="A87" s="114">
        <v>45599</v>
      </c>
      <c r="B87" s="113">
        <v>3874.5</v>
      </c>
      <c r="C87" s="112">
        <f t="shared" si="4"/>
        <v>-3.1762295081967151E-2</v>
      </c>
      <c r="F87" s="113">
        <v>24148.2</v>
      </c>
      <c r="G87" s="112">
        <f t="shared" si="5"/>
        <v>-6.4247758117372822E-3</v>
      </c>
    </row>
    <row r="88" spans="1:7">
      <c r="A88" s="114">
        <v>45606</v>
      </c>
      <c r="B88" s="113">
        <v>3823.85</v>
      </c>
      <c r="C88" s="112">
        <f t="shared" si="4"/>
        <v>-1.3072654536069206E-2</v>
      </c>
      <c r="F88" s="113">
        <v>23532.7</v>
      </c>
      <c r="G88" s="112">
        <f t="shared" si="5"/>
        <v>-2.5488442202731498E-2</v>
      </c>
    </row>
    <row r="89" spans="1:7">
      <c r="A89" s="114">
        <v>45613</v>
      </c>
      <c r="B89" s="113">
        <v>3613.65</v>
      </c>
      <c r="C89" s="112">
        <f t="shared" si="4"/>
        <v>-5.4970775527282689E-2</v>
      </c>
      <c r="F89" s="113">
        <v>23907.25</v>
      </c>
      <c r="G89" s="112">
        <f t="shared" si="5"/>
        <v>1.5916150717937061E-2</v>
      </c>
    </row>
    <row r="90" spans="1:7">
      <c r="A90" s="114">
        <v>45620</v>
      </c>
      <c r="B90" s="113">
        <v>3709.6</v>
      </c>
      <c r="C90" s="112">
        <f t="shared" si="4"/>
        <v>2.6552101061253719E-2</v>
      </c>
      <c r="F90" s="113">
        <v>24131.1</v>
      </c>
      <c r="G90" s="112">
        <f t="shared" si="5"/>
        <v>9.3632684645870157E-3</v>
      </c>
    </row>
    <row r="91" spans="1:7">
      <c r="A91" s="114">
        <v>45627</v>
      </c>
      <c r="B91" s="113">
        <v>3805.55</v>
      </c>
      <c r="C91" s="112">
        <f t="shared" si="4"/>
        <v>2.5865322406728453E-2</v>
      </c>
      <c r="F91" s="113">
        <v>24677.8</v>
      </c>
      <c r="G91" s="112">
        <f t="shared" si="5"/>
        <v>2.2655411481449228E-2</v>
      </c>
    </row>
    <row r="92" spans="1:7">
      <c r="A92" s="114">
        <v>45634</v>
      </c>
      <c r="B92" s="113">
        <v>3652.3</v>
      </c>
      <c r="C92" s="112">
        <f t="shared" si="4"/>
        <v>-4.0270131781214302E-2</v>
      </c>
      <c r="F92" s="113">
        <v>24768.3</v>
      </c>
      <c r="G92" s="112">
        <f t="shared" si="5"/>
        <v>3.6672636944945491E-3</v>
      </c>
    </row>
    <row r="93" spans="1:7">
      <c r="A93" s="114">
        <v>45641</v>
      </c>
      <c r="B93" s="113">
        <v>3408.3</v>
      </c>
      <c r="C93" s="112">
        <f t="shared" si="4"/>
        <v>-6.6807217369876493E-2</v>
      </c>
      <c r="F93" s="113">
        <v>23587.5</v>
      </c>
      <c r="G93" s="112">
        <f t="shared" si="5"/>
        <v>-4.7673841159869612E-2</v>
      </c>
    </row>
    <row r="94" spans="1:7">
      <c r="A94" s="114">
        <v>45648</v>
      </c>
      <c r="B94" s="113">
        <v>3568.35</v>
      </c>
      <c r="C94" s="112">
        <f t="shared" si="4"/>
        <v>4.6958894463515533E-2</v>
      </c>
      <c r="F94" s="113">
        <v>23813.4</v>
      </c>
      <c r="G94" s="112">
        <f t="shared" si="5"/>
        <v>9.5771065182830295E-3</v>
      </c>
    </row>
    <row r="95" spans="1:7">
      <c r="A95" s="114">
        <v>45655</v>
      </c>
      <c r="B95" s="113">
        <v>4025.2</v>
      </c>
      <c r="C95" s="112">
        <f t="shared" si="4"/>
        <v>0.12802836044670496</v>
      </c>
      <c r="F95" s="113">
        <v>24004.75</v>
      </c>
      <c r="G95" s="112">
        <f t="shared" si="5"/>
        <v>8.035391838208783E-3</v>
      </c>
    </row>
    <row r="96" spans="1:7">
      <c r="A96" s="114">
        <v>45662</v>
      </c>
      <c r="B96" s="113">
        <v>3686.25</v>
      </c>
      <c r="C96" s="112">
        <f t="shared" si="4"/>
        <v>-8.4206995925668271E-2</v>
      </c>
      <c r="F96" s="113">
        <v>23431.5</v>
      </c>
      <c r="G96" s="112">
        <f t="shared" si="5"/>
        <v>-2.3880690280048689E-2</v>
      </c>
    </row>
    <row r="97" spans="1:14">
      <c r="A97" s="114">
        <v>45669</v>
      </c>
      <c r="B97" s="113">
        <v>3620.65</v>
      </c>
      <c r="C97" s="112">
        <f t="shared" si="4"/>
        <v>-1.7795863004408274E-2</v>
      </c>
      <c r="F97" s="113">
        <v>23203.200000000001</v>
      </c>
      <c r="G97" s="112">
        <f t="shared" si="5"/>
        <v>-9.7432942833365344E-3</v>
      </c>
    </row>
    <row r="98" spans="1:14">
      <c r="A98" s="114">
        <v>45676</v>
      </c>
      <c r="B98" s="113">
        <v>3579.95</v>
      </c>
      <c r="C98" s="112">
        <f t="shared" si="4"/>
        <v>-1.1241075497493647E-2</v>
      </c>
      <c r="F98" s="113">
        <v>23092.2</v>
      </c>
      <c r="G98" s="112">
        <f t="shared" si="5"/>
        <v>-4.7838229209764549E-3</v>
      </c>
    </row>
    <row r="99" spans="1:14">
      <c r="A99" s="114">
        <v>45683</v>
      </c>
      <c r="B99" s="113">
        <v>3664.65</v>
      </c>
      <c r="C99" s="112">
        <f t="shared" si="4"/>
        <v>2.3659548317713996E-2</v>
      </c>
      <c r="F99" s="113">
        <v>23508.400000000001</v>
      </c>
      <c r="G99" s="112">
        <f t="shared" si="5"/>
        <v>1.8023401841314346E-2</v>
      </c>
    </row>
    <row r="100" spans="1:14">
      <c r="A100" s="114">
        <v>45690</v>
      </c>
      <c r="B100" s="113">
        <v>3743.5</v>
      </c>
      <c r="C100" s="112">
        <f t="shared" si="4"/>
        <v>2.1516379463250246E-2</v>
      </c>
      <c r="F100" s="113">
        <v>23559.95</v>
      </c>
      <c r="G100" s="112">
        <f t="shared" si="5"/>
        <v>2.1928332000475947E-3</v>
      </c>
    </row>
    <row r="101" spans="1:14">
      <c r="A101" s="114">
        <v>45697</v>
      </c>
      <c r="B101" s="113">
        <v>3682.65</v>
      </c>
      <c r="C101" s="112">
        <f t="shared" ref="C101:C132" si="6">B101/B100-1</f>
        <v>-1.6254841725657831E-2</v>
      </c>
      <c r="F101" s="113">
        <v>22929.25</v>
      </c>
      <c r="G101" s="112">
        <f t="shared" ref="G101:G132" si="7">F101/F100-1</f>
        <v>-2.6770005878620329E-2</v>
      </c>
    </row>
    <row r="102" spans="1:14">
      <c r="A102" s="114">
        <v>45704</v>
      </c>
      <c r="B102" s="113">
        <v>3596.7</v>
      </c>
      <c r="C102" s="112">
        <f t="shared" si="6"/>
        <v>-2.3339171520508351E-2</v>
      </c>
      <c r="F102" s="113">
        <v>22795.9</v>
      </c>
      <c r="G102" s="112">
        <f t="shared" si="7"/>
        <v>-5.8157157342695331E-3</v>
      </c>
    </row>
    <row r="103" spans="1:14">
      <c r="A103" s="114">
        <v>45711</v>
      </c>
      <c r="B103" s="113">
        <v>3403.95</v>
      </c>
      <c r="C103" s="112">
        <f t="shared" si="6"/>
        <v>-5.3590791558928985E-2</v>
      </c>
      <c r="F103" s="113">
        <v>22124.7</v>
      </c>
      <c r="G103" s="112">
        <f t="shared" si="7"/>
        <v>-2.9443891226053842E-2</v>
      </c>
      <c r="M103" s="109" t="s">
        <v>264</v>
      </c>
    </row>
    <row r="104" spans="1:14" ht="15.75" thickBot="1">
      <c r="A104" s="114">
        <v>45718</v>
      </c>
      <c r="B104" s="113">
        <v>3593.6</v>
      </c>
      <c r="C104" s="112">
        <f t="shared" si="6"/>
        <v>5.5714684410758109E-2</v>
      </c>
      <c r="F104" s="113">
        <v>22552.5</v>
      </c>
      <c r="G104" s="112">
        <f t="shared" si="7"/>
        <v>1.9335855401429125E-2</v>
      </c>
    </row>
    <row r="105" spans="1:14">
      <c r="A105" s="114">
        <v>45725</v>
      </c>
      <c r="B105" s="113">
        <v>3797.1</v>
      </c>
      <c r="C105" s="112">
        <f t="shared" si="6"/>
        <v>5.6628450578806833E-2</v>
      </c>
      <c r="F105" s="113">
        <v>22397.200000000001</v>
      </c>
      <c r="G105" s="112">
        <f t="shared" si="7"/>
        <v>-6.8861545283227521E-3</v>
      </c>
      <c r="M105" s="115" t="s">
        <v>263</v>
      </c>
      <c r="N105" s="115"/>
    </row>
    <row r="106" spans="1:14">
      <c r="A106" s="114">
        <v>45732</v>
      </c>
      <c r="B106" s="113">
        <v>3892.2</v>
      </c>
      <c r="C106" s="112">
        <f t="shared" si="6"/>
        <v>2.5045429406652442E-2</v>
      </c>
      <c r="F106" s="113">
        <v>23350.400000000001</v>
      </c>
      <c r="G106" s="112">
        <f t="shared" si="7"/>
        <v>4.2558891289982803E-2</v>
      </c>
      <c r="M106" s="109" t="s">
        <v>262</v>
      </c>
      <c r="N106" s="109">
        <v>0.41785323552732317</v>
      </c>
    </row>
    <row r="107" spans="1:14">
      <c r="A107" s="114">
        <v>45739</v>
      </c>
      <c r="B107" s="113">
        <v>4083.2</v>
      </c>
      <c r="C107" s="112">
        <f t="shared" si="6"/>
        <v>4.9072503982323656E-2</v>
      </c>
      <c r="F107" s="113">
        <v>23519.35</v>
      </c>
      <c r="G107" s="112">
        <f t="shared" si="7"/>
        <v>7.2354220912702605E-3</v>
      </c>
      <c r="M107" s="109" t="s">
        <v>261</v>
      </c>
      <c r="N107" s="109">
        <v>0.17460132644065263</v>
      </c>
    </row>
    <row r="108" spans="1:14">
      <c r="A108" s="114">
        <v>45746</v>
      </c>
      <c r="B108" s="113">
        <v>4039.9</v>
      </c>
      <c r="C108" s="112">
        <f t="shared" si="6"/>
        <v>-1.0604427899686408E-2</v>
      </c>
      <c r="F108" s="113">
        <v>22904.45</v>
      </c>
      <c r="G108" s="112">
        <f t="shared" si="7"/>
        <v>-2.6144430011883713E-2</v>
      </c>
      <c r="M108" s="109" t="s">
        <v>260</v>
      </c>
      <c r="N108" s="109">
        <v>0.16650918258222766</v>
      </c>
    </row>
    <row r="109" spans="1:14">
      <c r="M109" s="109" t="s">
        <v>249</v>
      </c>
      <c r="N109" s="109">
        <v>3.7973142738656963E-2</v>
      </c>
    </row>
    <row r="110" spans="1:14" ht="15.75" thickBot="1">
      <c r="M110" s="110" t="s">
        <v>259</v>
      </c>
      <c r="N110" s="110">
        <v>104</v>
      </c>
    </row>
    <row r="112" spans="1:14" ht="15.75" thickBot="1">
      <c r="M112" s="109" t="s">
        <v>258</v>
      </c>
    </row>
    <row r="113" spans="13:21">
      <c r="M113" s="111"/>
      <c r="N113" s="111" t="s">
        <v>257</v>
      </c>
      <c r="O113" s="111" t="s">
        <v>256</v>
      </c>
      <c r="P113" s="111" t="s">
        <v>255</v>
      </c>
      <c r="Q113" s="111" t="s">
        <v>254</v>
      </c>
      <c r="R113" s="111" t="s">
        <v>253</v>
      </c>
    </row>
    <row r="114" spans="13:21">
      <c r="M114" s="109" t="s">
        <v>252</v>
      </c>
      <c r="N114" s="109">
        <v>1</v>
      </c>
      <c r="O114" s="109">
        <v>3.1112651715615725E-2</v>
      </c>
      <c r="P114" s="109">
        <v>3.1112651715615725E-2</v>
      </c>
      <c r="Q114" s="109">
        <v>21.576646373985298</v>
      </c>
      <c r="R114" s="109">
        <v>1.017394746751788E-5</v>
      </c>
    </row>
    <row r="115" spans="13:21">
      <c r="M115" s="109" t="s">
        <v>251</v>
      </c>
      <c r="N115" s="109">
        <v>102</v>
      </c>
      <c r="O115" s="109">
        <v>0.14707987608394243</v>
      </c>
      <c r="P115" s="109">
        <v>1.4419595694504161E-3</v>
      </c>
    </row>
    <row r="116" spans="13:21" ht="15.75" thickBot="1">
      <c r="M116" s="110" t="s">
        <v>14</v>
      </c>
      <c r="N116" s="110">
        <v>103</v>
      </c>
      <c r="O116" s="110">
        <v>0.17819252779955816</v>
      </c>
      <c r="P116" s="110"/>
      <c r="Q116" s="110"/>
      <c r="R116" s="110"/>
    </row>
    <row r="117" spans="13:21" ht="15.75" thickBot="1"/>
    <row r="118" spans="13:21">
      <c r="M118" s="111"/>
      <c r="N118" s="111" t="s">
        <v>250</v>
      </c>
      <c r="O118" s="111" t="s">
        <v>249</v>
      </c>
      <c r="P118" s="111" t="s">
        <v>248</v>
      </c>
      <c r="Q118" s="111" t="s">
        <v>247</v>
      </c>
      <c r="R118" s="111" t="s">
        <v>246</v>
      </c>
      <c r="S118" s="111" t="s">
        <v>245</v>
      </c>
      <c r="T118" s="111" t="s">
        <v>244</v>
      </c>
      <c r="U118" s="111" t="s">
        <v>243</v>
      </c>
    </row>
    <row r="119" spans="13:21">
      <c r="M119" s="109" t="s">
        <v>242</v>
      </c>
      <c r="N119" s="109">
        <v>-5.899394735245202E-4</v>
      </c>
      <c r="O119" s="109">
        <v>3.773293878918543E-3</v>
      </c>
      <c r="P119" s="109">
        <v>-0.15634601821515204</v>
      </c>
      <c r="Q119" s="109">
        <v>0.87606931377089758</v>
      </c>
      <c r="R119" s="109">
        <v>-8.0742497879265282E-3</v>
      </c>
      <c r="S119" s="109">
        <v>6.8943708408774887E-3</v>
      </c>
      <c r="T119" s="109">
        <v>-8.0742497879265282E-3</v>
      </c>
      <c r="U119" s="109">
        <v>6.8943708408774887E-3</v>
      </c>
    </row>
    <row r="120" spans="13:21" ht="15.75" thickBot="1">
      <c r="M120" s="110" t="s">
        <v>241</v>
      </c>
      <c r="N120" s="110">
        <v>1.0622810818741086</v>
      </c>
      <c r="O120" s="110">
        <v>0.2286901583938292</v>
      </c>
      <c r="P120" s="110">
        <v>4.6450668858462452</v>
      </c>
      <c r="Q120" s="110">
        <v>1.0173947467517868E-5</v>
      </c>
      <c r="R120" s="110">
        <v>0.6086752493594888</v>
      </c>
      <c r="S120" s="110">
        <v>1.5158869143887286</v>
      </c>
      <c r="T120" s="110">
        <v>0.6086752493594888</v>
      </c>
      <c r="U120" s="110">
        <v>1.5158869143887286</v>
      </c>
    </row>
  </sheetData>
  <mergeCells count="2">
    <mergeCell ref="F2:G2"/>
    <mergeCell ref="J5:L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DC13-B363-4539-AC55-8723935C6F56}">
  <sheetPr>
    <tabColor rgb="FF0000CC"/>
  </sheetPr>
  <dimension ref="A2:Y120"/>
  <sheetViews>
    <sheetView tabSelected="1" workbookViewId="0">
      <selection activeCell="M15" sqref="M15"/>
    </sheetView>
  </sheetViews>
  <sheetFormatPr defaultRowHeight="15"/>
  <cols>
    <col min="1" max="1" width="12.7109375" style="109" customWidth="1"/>
    <col min="2" max="2" width="12.85546875" style="109" customWidth="1"/>
    <col min="3" max="3" width="13.42578125" style="109" bestFit="1" customWidth="1"/>
    <col min="4" max="6" width="9.140625" style="109"/>
    <col min="7" max="7" width="13.42578125" style="109" bestFit="1" customWidth="1"/>
    <col min="8" max="9" width="9.140625" style="109"/>
    <col min="10" max="10" width="20.42578125" style="109" bestFit="1" customWidth="1"/>
    <col min="11" max="11" width="9.140625" style="109"/>
    <col min="12" max="12" width="9.5703125" style="109" bestFit="1" customWidth="1"/>
    <col min="13" max="13" width="17.42578125" style="109" bestFit="1" customWidth="1"/>
    <col min="14" max="14" width="12.7109375" style="109" bestFit="1" customWidth="1"/>
    <col min="15" max="15" width="10.28515625" style="109" customWidth="1"/>
    <col min="16" max="16" width="9.140625" style="109"/>
    <col min="17" max="17" width="20.28515625" style="109" bestFit="1" customWidth="1"/>
    <col min="18" max="16384" width="9.140625" style="109"/>
  </cols>
  <sheetData>
    <row r="2" spans="1:18">
      <c r="A2" s="127" t="s">
        <v>281</v>
      </c>
      <c r="B2" s="126"/>
      <c r="C2" s="125"/>
      <c r="F2" s="131" t="s">
        <v>280</v>
      </c>
      <c r="G2" s="132"/>
    </row>
    <row r="3" spans="1:18">
      <c r="A3" s="122" t="s">
        <v>279</v>
      </c>
      <c r="B3" s="124" t="s">
        <v>278</v>
      </c>
      <c r="C3" s="123" t="s">
        <v>277</v>
      </c>
      <c r="F3" s="122" t="s">
        <v>278</v>
      </c>
      <c r="G3" s="121" t="s">
        <v>277</v>
      </c>
    </row>
    <row r="4" spans="1:18">
      <c r="A4" s="114">
        <v>45018</v>
      </c>
      <c r="B4" s="113">
        <v>3496.1</v>
      </c>
      <c r="F4" s="113">
        <v>17599.150000000001</v>
      </c>
    </row>
    <row r="5" spans="1:18">
      <c r="A5" s="114">
        <v>45025</v>
      </c>
      <c r="B5" s="113">
        <v>3501.05</v>
      </c>
      <c r="C5" s="112">
        <f t="shared" ref="C5:C36" si="0">B5/B4-1</f>
        <v>1.4158633906353746E-3</v>
      </c>
      <c r="F5" s="113">
        <v>17828</v>
      </c>
      <c r="G5" s="112">
        <f t="shared" ref="G5:G36" si="1">F5/F4-1</f>
        <v>1.3003468917532901E-2</v>
      </c>
      <c r="J5" s="133" t="s">
        <v>276</v>
      </c>
      <c r="K5" s="133"/>
      <c r="L5" s="133"/>
    </row>
    <row r="6" spans="1:18">
      <c r="A6" s="114">
        <v>45032</v>
      </c>
      <c r="B6" s="113">
        <v>3455.9</v>
      </c>
      <c r="C6" s="112">
        <f t="shared" si="0"/>
        <v>-1.2896131160651803E-2</v>
      </c>
      <c r="F6" s="113">
        <v>17624.05</v>
      </c>
      <c r="G6" s="112">
        <f t="shared" si="1"/>
        <v>-1.143986986762402E-2</v>
      </c>
    </row>
    <row r="7" spans="1:18">
      <c r="A7" s="114">
        <v>45039</v>
      </c>
      <c r="B7" s="113">
        <v>3511.95</v>
      </c>
      <c r="C7" s="112">
        <f t="shared" si="0"/>
        <v>1.6218640585665023E-2</v>
      </c>
      <c r="F7" s="113">
        <v>18065</v>
      </c>
      <c r="G7" s="112">
        <f t="shared" si="1"/>
        <v>2.5019788300645995E-2</v>
      </c>
      <c r="J7" s="109" t="s">
        <v>275</v>
      </c>
      <c r="L7" s="117">
        <f>Q7</f>
        <v>1.0622810818741086</v>
      </c>
      <c r="O7" s="109" t="s">
        <v>274</v>
      </c>
      <c r="Q7" s="117">
        <f>SLOPE(C5:C108,G5:G108)</f>
        <v>1.0622810818741086</v>
      </c>
    </row>
    <row r="8" spans="1:18">
      <c r="A8" s="114">
        <v>45046</v>
      </c>
      <c r="B8" s="113">
        <v>3598.2</v>
      </c>
      <c r="C8" s="112">
        <f t="shared" si="0"/>
        <v>2.4559005680604873E-2</v>
      </c>
      <c r="F8" s="113">
        <v>18069</v>
      </c>
      <c r="G8" s="112">
        <f t="shared" si="1"/>
        <v>2.2142264046509652E-4</v>
      </c>
      <c r="J8" s="109" t="s">
        <v>273</v>
      </c>
      <c r="L8" s="119">
        <v>0.75</v>
      </c>
      <c r="O8" s="109" t="s">
        <v>272</v>
      </c>
      <c r="Q8" s="120">
        <f>COVAR(C5:C108,G5:G108)/VAR(G5:G108)</f>
        <v>1.052066840702242</v>
      </c>
      <c r="R8" s="109" t="s">
        <v>271</v>
      </c>
    </row>
    <row r="9" spans="1:18">
      <c r="A9" s="114">
        <v>45053</v>
      </c>
      <c r="B9" s="113">
        <v>3677.55</v>
      </c>
      <c r="C9" s="112">
        <f t="shared" si="0"/>
        <v>2.2052693013173252E-2</v>
      </c>
      <c r="F9" s="113">
        <v>18314.8</v>
      </c>
      <c r="G9" s="112">
        <f t="shared" si="1"/>
        <v>1.3603409153799317E-2</v>
      </c>
      <c r="J9" s="109" t="s">
        <v>270</v>
      </c>
      <c r="L9" s="109">
        <v>1</v>
      </c>
      <c r="O9" s="109" t="s">
        <v>269</v>
      </c>
      <c r="Q9" s="117">
        <f>N120</f>
        <v>1.0622810818741086</v>
      </c>
    </row>
    <row r="10" spans="1:18">
      <c r="A10" s="114">
        <v>45060</v>
      </c>
      <c r="B10" s="113">
        <v>3395.25</v>
      </c>
      <c r="C10" s="112">
        <f t="shared" si="0"/>
        <v>-7.6763062364889723E-2</v>
      </c>
      <c r="F10" s="113">
        <v>18203.400000000001</v>
      </c>
      <c r="G10" s="112">
        <f t="shared" si="1"/>
        <v>-6.0825125035489647E-3</v>
      </c>
      <c r="J10" s="109" t="s">
        <v>268</v>
      </c>
      <c r="L10" s="119">
        <v>0.25</v>
      </c>
    </row>
    <row r="11" spans="1:18">
      <c r="A11" s="114">
        <v>45067</v>
      </c>
      <c r="B11" s="113">
        <v>3501.75</v>
      </c>
      <c r="C11" s="112">
        <f t="shared" si="0"/>
        <v>3.1367351446874414E-2</v>
      </c>
      <c r="F11" s="113">
        <v>18499.349999999999</v>
      </c>
      <c r="G11" s="112">
        <f t="shared" si="1"/>
        <v>1.6257951811200044E-2</v>
      </c>
    </row>
    <row r="12" spans="1:18">
      <c r="A12" s="114">
        <v>45074</v>
      </c>
      <c r="B12" s="113">
        <v>3531.6</v>
      </c>
      <c r="C12" s="112">
        <f t="shared" si="0"/>
        <v>8.5243092739344384E-3</v>
      </c>
      <c r="F12" s="113">
        <v>18534.099999999999</v>
      </c>
      <c r="G12" s="112">
        <f t="shared" si="1"/>
        <v>1.8784443777755122E-3</v>
      </c>
      <c r="J12" s="118" t="s">
        <v>267</v>
      </c>
      <c r="L12" s="117">
        <f>(L7*L8)+(L10*L9)</f>
        <v>1.0467108114055814</v>
      </c>
    </row>
    <row r="13" spans="1:18">
      <c r="A13" s="114">
        <v>45081</v>
      </c>
      <c r="B13" s="113">
        <v>3632.1</v>
      </c>
      <c r="C13" s="112">
        <f t="shared" si="0"/>
        <v>2.8457356439007819E-2</v>
      </c>
      <c r="F13" s="113">
        <v>18563.400000000001</v>
      </c>
      <c r="G13" s="112">
        <f t="shared" si="1"/>
        <v>1.5808698561032841E-3</v>
      </c>
    </row>
    <row r="14" spans="1:18">
      <c r="A14" s="114">
        <v>45088</v>
      </c>
      <c r="B14" s="113">
        <v>4085.6</v>
      </c>
      <c r="C14" s="112">
        <f t="shared" si="0"/>
        <v>0.1248588970567992</v>
      </c>
      <c r="F14" s="113">
        <v>18826</v>
      </c>
      <c r="G14" s="112">
        <f t="shared" si="1"/>
        <v>1.4146115474535925E-2</v>
      </c>
    </row>
    <row r="15" spans="1:18">
      <c r="A15" s="114">
        <v>45095</v>
      </c>
      <c r="B15" s="113">
        <v>3744.05</v>
      </c>
      <c r="C15" s="112">
        <f t="shared" si="0"/>
        <v>-8.3598492265517854E-2</v>
      </c>
      <c r="F15" s="113">
        <v>18665.5</v>
      </c>
      <c r="G15" s="112">
        <f t="shared" si="1"/>
        <v>-8.5254435355359703E-3</v>
      </c>
    </row>
    <row r="16" spans="1:18">
      <c r="A16" s="114">
        <v>45102</v>
      </c>
      <c r="B16" s="113">
        <v>3889.2</v>
      </c>
      <c r="C16" s="112">
        <f t="shared" si="0"/>
        <v>3.8768178843765266E-2</v>
      </c>
      <c r="F16" s="113">
        <v>19189.05</v>
      </c>
      <c r="G16" s="112">
        <f t="shared" si="1"/>
        <v>2.8049074495727355E-2</v>
      </c>
    </row>
    <row r="17" spans="1:22">
      <c r="A17" s="114">
        <v>45109</v>
      </c>
      <c r="B17" s="113">
        <v>3808.95</v>
      </c>
      <c r="C17" s="112">
        <f t="shared" si="0"/>
        <v>-2.0634063560629468E-2</v>
      </c>
      <c r="F17" s="113">
        <v>19331.8</v>
      </c>
      <c r="G17" s="112">
        <f t="shared" si="1"/>
        <v>7.4391384669902916E-3</v>
      </c>
      <c r="J17" s="109" t="s">
        <v>266</v>
      </c>
    </row>
    <row r="18" spans="1:22">
      <c r="A18" s="114">
        <v>45116</v>
      </c>
      <c r="B18" s="113">
        <v>3838.75</v>
      </c>
      <c r="C18" s="112">
        <f t="shared" si="0"/>
        <v>7.8236784415652849E-3</v>
      </c>
      <c r="F18" s="113">
        <v>19564.5</v>
      </c>
      <c r="G18" s="112">
        <f t="shared" si="1"/>
        <v>1.2037161567986399E-2</v>
      </c>
    </row>
    <row r="19" spans="1:22" ht="15.75" thickBot="1">
      <c r="A19" s="114">
        <v>45123</v>
      </c>
      <c r="B19" s="113">
        <v>3675.7</v>
      </c>
      <c r="C19" s="112">
        <f t="shared" si="0"/>
        <v>-4.2474763920547054E-2</v>
      </c>
      <c r="F19" s="113">
        <v>19745</v>
      </c>
      <c r="G19" s="112">
        <f t="shared" si="1"/>
        <v>9.225893838329613E-3</v>
      </c>
      <c r="J19" s="116" t="s">
        <v>265</v>
      </c>
    </row>
    <row r="20" spans="1:22" ht="15.75" thickTop="1">
      <c r="A20" s="114">
        <v>45130</v>
      </c>
      <c r="B20" s="113">
        <v>3713.9</v>
      </c>
      <c r="C20" s="112">
        <f t="shared" si="0"/>
        <v>1.0392578284408538E-2</v>
      </c>
      <c r="F20" s="113">
        <v>19646.05</v>
      </c>
      <c r="G20" s="112">
        <f t="shared" si="1"/>
        <v>-5.0113952899468739E-3</v>
      </c>
    </row>
    <row r="21" spans="1:22">
      <c r="A21" s="114">
        <v>45137</v>
      </c>
      <c r="B21" s="113">
        <v>3652.1</v>
      </c>
      <c r="C21" s="112">
        <f t="shared" si="0"/>
        <v>-1.6640189558146501E-2</v>
      </c>
      <c r="F21" s="113">
        <v>19517</v>
      </c>
      <c r="G21" s="112">
        <f t="shared" si="1"/>
        <v>-6.568750461288575E-3</v>
      </c>
    </row>
    <row r="22" spans="1:22">
      <c r="A22" s="114">
        <v>45144</v>
      </c>
      <c r="B22" s="113">
        <v>3550.05</v>
      </c>
      <c r="C22" s="112">
        <f t="shared" si="0"/>
        <v>-2.7942827414364269E-2</v>
      </c>
      <c r="F22" s="113">
        <v>19428.3</v>
      </c>
      <c r="G22" s="112">
        <f t="shared" si="1"/>
        <v>-4.5447558538710409E-3</v>
      </c>
      <c r="Q22" s="109" t="s">
        <v>264</v>
      </c>
    </row>
    <row r="23" spans="1:22" ht="15.75" thickBot="1">
      <c r="A23" s="114">
        <v>45151</v>
      </c>
      <c r="B23" s="113">
        <v>3540.95</v>
      </c>
      <c r="C23" s="112">
        <f t="shared" si="0"/>
        <v>-2.5633441782511035E-3</v>
      </c>
      <c r="F23" s="113">
        <v>19310.150000000001</v>
      </c>
      <c r="G23" s="112">
        <f t="shared" si="1"/>
        <v>-6.0813349598265454E-3</v>
      </c>
    </row>
    <row r="24" spans="1:22">
      <c r="A24" s="114">
        <v>45158</v>
      </c>
      <c r="B24" s="113">
        <v>3534.6</v>
      </c>
      <c r="C24" s="112">
        <f t="shared" si="0"/>
        <v>-1.7933040568208769E-3</v>
      </c>
      <c r="F24" s="113">
        <v>19265.8</v>
      </c>
      <c r="G24" s="112">
        <f t="shared" si="1"/>
        <v>-2.2967196008317758E-3</v>
      </c>
      <c r="Q24" s="115" t="s">
        <v>263</v>
      </c>
      <c r="R24" s="115"/>
    </row>
    <row r="25" spans="1:22">
      <c r="A25" s="114">
        <v>45165</v>
      </c>
      <c r="B25" s="113">
        <v>3761.05</v>
      </c>
      <c r="C25" s="112">
        <f t="shared" si="0"/>
        <v>6.4066655349968915E-2</v>
      </c>
      <c r="F25" s="113">
        <v>19435.3</v>
      </c>
      <c r="G25" s="112">
        <f t="shared" si="1"/>
        <v>8.7979736112697715E-3</v>
      </c>
      <c r="Q25" s="109" t="s">
        <v>262</v>
      </c>
      <c r="R25" s="109">
        <v>0.41785323552732317</v>
      </c>
    </row>
    <row r="26" spans="1:22">
      <c r="A26" s="114">
        <v>45172</v>
      </c>
      <c r="B26" s="113">
        <v>3782.4</v>
      </c>
      <c r="C26" s="112">
        <f t="shared" si="0"/>
        <v>5.6766062668669459E-3</v>
      </c>
      <c r="F26" s="113">
        <v>19819.95</v>
      </c>
      <c r="G26" s="112">
        <f t="shared" si="1"/>
        <v>1.9791307569216876E-2</v>
      </c>
      <c r="Q26" s="109" t="s">
        <v>261</v>
      </c>
      <c r="R26" s="109">
        <v>0.17460132644065263</v>
      </c>
    </row>
    <row r="27" spans="1:22">
      <c r="A27" s="114">
        <v>45179</v>
      </c>
      <c r="B27" s="113">
        <v>3796</v>
      </c>
      <c r="C27" s="112">
        <f t="shared" si="0"/>
        <v>3.5956006768189663E-3</v>
      </c>
      <c r="F27" s="113">
        <v>20192.349999999999</v>
      </c>
      <c r="G27" s="112">
        <f t="shared" si="1"/>
        <v>1.8789149316723597E-2</v>
      </c>
      <c r="Q27" s="109" t="s">
        <v>260</v>
      </c>
      <c r="R27" s="109">
        <v>0.16650918258222766</v>
      </c>
    </row>
    <row r="28" spans="1:22">
      <c r="A28" s="114">
        <v>45186</v>
      </c>
      <c r="B28" s="113">
        <v>3689.1</v>
      </c>
      <c r="C28" s="112">
        <f t="shared" si="0"/>
        <v>-2.8161222339304515E-2</v>
      </c>
      <c r="F28" s="113">
        <v>19674.25</v>
      </c>
      <c r="G28" s="112">
        <f t="shared" si="1"/>
        <v>-2.5658231954180599E-2</v>
      </c>
      <c r="Q28" s="109" t="s">
        <v>249</v>
      </c>
      <c r="R28" s="109">
        <v>3.7973142738656963E-2</v>
      </c>
    </row>
    <row r="29" spans="1:22" ht="15.75" thickBot="1">
      <c r="A29" s="114">
        <v>45193</v>
      </c>
      <c r="B29" s="113">
        <v>3675.6</v>
      </c>
      <c r="C29" s="112">
        <f t="shared" si="0"/>
        <v>-3.6594291290558134E-3</v>
      </c>
      <c r="F29" s="113">
        <v>19638.3</v>
      </c>
      <c r="G29" s="112">
        <f t="shared" si="1"/>
        <v>-1.8272615220402688E-3</v>
      </c>
      <c r="Q29" s="110" t="s">
        <v>259</v>
      </c>
      <c r="R29" s="110">
        <v>104</v>
      </c>
    </row>
    <row r="30" spans="1:22">
      <c r="A30" s="114">
        <v>45200</v>
      </c>
      <c r="B30" s="113">
        <v>3833.95</v>
      </c>
      <c r="C30" s="112">
        <f t="shared" si="0"/>
        <v>4.3081401675916897E-2</v>
      </c>
      <c r="F30" s="113">
        <v>19653.5</v>
      </c>
      <c r="G30" s="112">
        <f t="shared" si="1"/>
        <v>7.7399774929598486E-4</v>
      </c>
    </row>
    <row r="31" spans="1:22" ht="15.75" thickBot="1">
      <c r="A31" s="114">
        <v>45207</v>
      </c>
      <c r="B31" s="113">
        <v>3935.85</v>
      </c>
      <c r="C31" s="112">
        <f t="shared" si="0"/>
        <v>2.6578333050770064E-2</v>
      </c>
      <c r="F31" s="113">
        <v>19751.05</v>
      </c>
      <c r="G31" s="112">
        <f t="shared" si="1"/>
        <v>4.9634925076957881E-3</v>
      </c>
      <c r="Q31" s="109" t="s">
        <v>258</v>
      </c>
    </row>
    <row r="32" spans="1:22">
      <c r="A32" s="114">
        <v>45214</v>
      </c>
      <c r="B32" s="113">
        <v>3749.5</v>
      </c>
      <c r="C32" s="112">
        <f t="shared" si="0"/>
        <v>-4.7346824701144596E-2</v>
      </c>
      <c r="F32" s="113">
        <v>19542.650000000001</v>
      </c>
      <c r="G32" s="112">
        <f t="shared" si="1"/>
        <v>-1.0551337776978809E-2</v>
      </c>
      <c r="Q32" s="111"/>
      <c r="R32" s="111" t="s">
        <v>257</v>
      </c>
      <c r="S32" s="111" t="s">
        <v>256</v>
      </c>
      <c r="T32" s="111" t="s">
        <v>255</v>
      </c>
      <c r="U32" s="111" t="s">
        <v>254</v>
      </c>
      <c r="V32" s="111" t="s">
        <v>253</v>
      </c>
    </row>
    <row r="33" spans="1:25">
      <c r="A33" s="114">
        <v>45221</v>
      </c>
      <c r="B33" s="113">
        <v>3665.45</v>
      </c>
      <c r="C33" s="112">
        <f t="shared" si="0"/>
        <v>-2.2416322176290193E-2</v>
      </c>
      <c r="F33" s="113">
        <v>19047.25</v>
      </c>
      <c r="G33" s="112">
        <f t="shared" si="1"/>
        <v>-2.5349683896503383E-2</v>
      </c>
      <c r="Q33" s="109" t="s">
        <v>252</v>
      </c>
      <c r="R33" s="109">
        <v>1</v>
      </c>
      <c r="S33" s="109">
        <v>3.1112651715615725E-2</v>
      </c>
      <c r="T33" s="109">
        <v>3.1112651715615725E-2</v>
      </c>
      <c r="U33" s="109">
        <v>21.576646373985298</v>
      </c>
      <c r="V33" s="109">
        <v>1.017394746751788E-5</v>
      </c>
    </row>
    <row r="34" spans="1:25">
      <c r="A34" s="114">
        <v>45228</v>
      </c>
      <c r="B34" s="113">
        <v>3649.7</v>
      </c>
      <c r="C34" s="112">
        <f t="shared" si="0"/>
        <v>-4.2968803284726409E-3</v>
      </c>
      <c r="F34" s="113">
        <v>19230.599999999999</v>
      </c>
      <c r="G34" s="112">
        <f t="shared" si="1"/>
        <v>9.6260615049414966E-3</v>
      </c>
      <c r="Q34" s="109" t="s">
        <v>251</v>
      </c>
      <c r="R34" s="109">
        <v>102</v>
      </c>
      <c r="S34" s="109">
        <v>0.14707987608394243</v>
      </c>
      <c r="T34" s="109">
        <v>1.4419595694504161E-3</v>
      </c>
    </row>
    <row r="35" spans="1:25" ht="15.75" thickBot="1">
      <c r="A35" s="114">
        <v>45235</v>
      </c>
      <c r="B35" s="113">
        <v>3798.4</v>
      </c>
      <c r="C35" s="112">
        <f t="shared" si="0"/>
        <v>4.0743074773269106E-2</v>
      </c>
      <c r="F35" s="113">
        <v>19425.349999999999</v>
      </c>
      <c r="G35" s="112">
        <f t="shared" si="1"/>
        <v>1.0127089118384225E-2</v>
      </c>
      <c r="Q35" s="110" t="s">
        <v>14</v>
      </c>
      <c r="R35" s="110">
        <v>103</v>
      </c>
      <c r="S35" s="110">
        <v>0.17819252779955816</v>
      </c>
      <c r="T35" s="110"/>
      <c r="U35" s="110"/>
      <c r="V35" s="110"/>
    </row>
    <row r="36" spans="1:25" ht="15.75" thickBot="1">
      <c r="A36" s="114">
        <v>45242</v>
      </c>
      <c r="B36" s="113">
        <v>3810.9</v>
      </c>
      <c r="C36" s="112">
        <f t="shared" si="0"/>
        <v>3.2908593091827143E-3</v>
      </c>
      <c r="F36" s="113">
        <v>19731.8</v>
      </c>
      <c r="G36" s="112">
        <f t="shared" si="1"/>
        <v>1.5775777527818002E-2</v>
      </c>
    </row>
    <row r="37" spans="1:25">
      <c r="A37" s="114">
        <v>45249</v>
      </c>
      <c r="B37" s="113">
        <v>3842.9</v>
      </c>
      <c r="C37" s="112">
        <f t="shared" ref="C37:C68" si="2">B37/B36-1</f>
        <v>8.3969665958172346E-3</v>
      </c>
      <c r="F37" s="113">
        <v>19794.7</v>
      </c>
      <c r="G37" s="112">
        <f t="shared" ref="G37:G68" si="3">F37/F36-1</f>
        <v>3.1877476966115648E-3</v>
      </c>
      <c r="Q37" s="111"/>
      <c r="R37" s="111" t="s">
        <v>250</v>
      </c>
      <c r="S37" s="111" t="s">
        <v>249</v>
      </c>
      <c r="T37" s="111" t="s">
        <v>248</v>
      </c>
      <c r="U37" s="111" t="s">
        <v>247</v>
      </c>
      <c r="V37" s="111" t="s">
        <v>246</v>
      </c>
      <c r="W37" s="111" t="s">
        <v>245</v>
      </c>
      <c r="X37" s="111" t="s">
        <v>244</v>
      </c>
      <c r="Y37" s="111" t="s">
        <v>243</v>
      </c>
    </row>
    <row r="38" spans="1:25">
      <c r="A38" s="114">
        <v>45256</v>
      </c>
      <c r="B38" s="113">
        <v>3988.4</v>
      </c>
      <c r="C38" s="112">
        <f t="shared" si="2"/>
        <v>3.7862031278461661E-2</v>
      </c>
      <c r="F38" s="113">
        <v>20267.900000000001</v>
      </c>
      <c r="G38" s="112">
        <f t="shared" si="3"/>
        <v>2.3905388816198414E-2</v>
      </c>
      <c r="Q38" s="109" t="s">
        <v>242</v>
      </c>
      <c r="R38" s="109">
        <v>-5.899394735245202E-4</v>
      </c>
      <c r="S38" s="109">
        <v>3.773293878918543E-3</v>
      </c>
      <c r="T38" s="109">
        <v>-0.15634601821515204</v>
      </c>
      <c r="U38" s="109">
        <v>0.87606931377089758</v>
      </c>
      <c r="V38" s="109">
        <v>-8.0742497879265282E-3</v>
      </c>
      <c r="W38" s="109">
        <v>6.8943708408774887E-3</v>
      </c>
      <c r="X38" s="109">
        <v>-8.0742497879265282E-3</v>
      </c>
      <c r="Y38" s="109">
        <v>6.8943708408774887E-3</v>
      </c>
    </row>
    <row r="39" spans="1:25" ht="15.75" thickBot="1">
      <c r="A39" s="114">
        <v>45263</v>
      </c>
      <c r="B39" s="113">
        <v>4070.65</v>
      </c>
      <c r="C39" s="112">
        <f t="shared" si="2"/>
        <v>2.0622304683582282E-2</v>
      </c>
      <c r="F39" s="113">
        <v>20969.400000000001</v>
      </c>
      <c r="G39" s="112">
        <f t="shared" si="3"/>
        <v>3.4611380557433069E-2</v>
      </c>
      <c r="Q39" s="110" t="s">
        <v>241</v>
      </c>
      <c r="R39" s="110">
        <v>1.0622810818741086</v>
      </c>
      <c r="S39" s="110">
        <v>0.2286901583938292</v>
      </c>
      <c r="T39" s="110">
        <v>4.6450668858462452</v>
      </c>
      <c r="U39" s="110">
        <v>1.0173947467517868E-5</v>
      </c>
      <c r="V39" s="110">
        <v>0.6086752493594888</v>
      </c>
      <c r="W39" s="110">
        <v>1.5158869143887286</v>
      </c>
      <c r="X39" s="110">
        <v>0.6086752493594888</v>
      </c>
      <c r="Y39" s="110">
        <v>1.5158869143887286</v>
      </c>
    </row>
    <row r="40" spans="1:25">
      <c r="A40" s="114">
        <v>45270</v>
      </c>
      <c r="B40" s="113">
        <v>4045.65</v>
      </c>
      <c r="C40" s="112">
        <f t="shared" si="2"/>
        <v>-6.1415253092258482E-3</v>
      </c>
      <c r="F40" s="113">
        <v>21456.65</v>
      </c>
      <c r="G40" s="112">
        <f t="shared" si="3"/>
        <v>2.3236239472755438E-2</v>
      </c>
    </row>
    <row r="41" spans="1:25">
      <c r="A41" s="114">
        <v>45277</v>
      </c>
      <c r="B41" s="113">
        <v>4007.95</v>
      </c>
      <c r="C41" s="112">
        <f t="shared" si="2"/>
        <v>-9.3186508966421888E-3</v>
      </c>
      <c r="F41" s="113">
        <v>21349.4</v>
      </c>
      <c r="G41" s="112">
        <f t="shared" si="3"/>
        <v>-4.9984503638732525E-3</v>
      </c>
    </row>
    <row r="42" spans="1:25">
      <c r="A42" s="114">
        <v>45284</v>
      </c>
      <c r="B42" s="113">
        <v>4082.65</v>
      </c>
      <c r="C42" s="112">
        <f t="shared" si="2"/>
        <v>1.8637957060342547E-2</v>
      </c>
      <c r="F42" s="113">
        <v>21731.4</v>
      </c>
      <c r="G42" s="112">
        <f t="shared" si="3"/>
        <v>1.7892774504201459E-2</v>
      </c>
    </row>
    <row r="43" spans="1:25">
      <c r="A43" s="114">
        <v>45291</v>
      </c>
      <c r="B43" s="113">
        <v>3863.5</v>
      </c>
      <c r="C43" s="112">
        <f t="shared" si="2"/>
        <v>-5.3678370666111475E-2</v>
      </c>
      <c r="F43" s="113">
        <v>21710.799999999999</v>
      </c>
      <c r="G43" s="112">
        <f t="shared" si="3"/>
        <v>-9.479370864280412E-4</v>
      </c>
    </row>
    <row r="44" spans="1:25">
      <c r="A44" s="114">
        <v>45298</v>
      </c>
      <c r="B44" s="113">
        <v>3841</v>
      </c>
      <c r="C44" s="112">
        <f t="shared" si="2"/>
        <v>-5.8237349553513784E-3</v>
      </c>
      <c r="F44" s="113">
        <v>21894.55</v>
      </c>
      <c r="G44" s="112">
        <f t="shared" si="3"/>
        <v>8.4635296718684749E-3</v>
      </c>
    </row>
    <row r="45" spans="1:25">
      <c r="A45" s="114">
        <v>45305</v>
      </c>
      <c r="B45" s="113">
        <v>3731.7</v>
      </c>
      <c r="C45" s="112">
        <f t="shared" si="2"/>
        <v>-2.8456131215829239E-2</v>
      </c>
      <c r="F45" s="113">
        <v>21622.400000000001</v>
      </c>
      <c r="G45" s="112">
        <f t="shared" si="3"/>
        <v>-1.2430033958222397E-2</v>
      </c>
    </row>
    <row r="46" spans="1:25">
      <c r="A46" s="114">
        <v>45312</v>
      </c>
      <c r="B46" s="113">
        <v>3734.25</v>
      </c>
      <c r="C46" s="112">
        <f t="shared" si="2"/>
        <v>6.8333467320536023E-4</v>
      </c>
      <c r="F46" s="113">
        <v>21352.6</v>
      </c>
      <c r="G46" s="112">
        <f t="shared" si="3"/>
        <v>-1.2477800799171379E-2</v>
      </c>
    </row>
    <row r="47" spans="1:25">
      <c r="A47" s="114">
        <v>45319</v>
      </c>
      <c r="B47" s="113">
        <v>3784.3</v>
      </c>
      <c r="C47" s="112">
        <f t="shared" si="2"/>
        <v>1.3402959094865219E-2</v>
      </c>
      <c r="F47" s="113">
        <v>21853.8</v>
      </c>
      <c r="G47" s="112">
        <f t="shared" si="3"/>
        <v>2.3472551352060167E-2</v>
      </c>
    </row>
    <row r="48" spans="1:25">
      <c r="A48" s="114">
        <v>45326</v>
      </c>
      <c r="B48" s="113">
        <v>3719.2</v>
      </c>
      <c r="C48" s="112">
        <f t="shared" si="2"/>
        <v>-1.720265306661739E-2</v>
      </c>
      <c r="F48" s="113">
        <v>21782.5</v>
      </c>
      <c r="G48" s="112">
        <f t="shared" si="3"/>
        <v>-3.2625904876955047E-3</v>
      </c>
    </row>
    <row r="49" spans="1:7">
      <c r="A49" s="114">
        <v>45333</v>
      </c>
      <c r="B49" s="113">
        <v>3693.3</v>
      </c>
      <c r="C49" s="112">
        <f t="shared" si="2"/>
        <v>-6.9638631963861997E-3</v>
      </c>
      <c r="F49" s="113">
        <v>22040.7</v>
      </c>
      <c r="G49" s="112">
        <f t="shared" si="3"/>
        <v>1.1853552163433978E-2</v>
      </c>
    </row>
    <row r="50" spans="1:7">
      <c r="A50" s="114">
        <v>45340</v>
      </c>
      <c r="B50" s="113">
        <v>3840.55</v>
      </c>
      <c r="C50" s="112">
        <f t="shared" si="2"/>
        <v>3.9869493406980094E-2</v>
      </c>
      <c r="F50" s="113">
        <v>22212.7</v>
      </c>
      <c r="G50" s="112">
        <f t="shared" si="3"/>
        <v>7.8037448901351336E-3</v>
      </c>
    </row>
    <row r="51" spans="1:7">
      <c r="A51" s="114">
        <v>45347</v>
      </c>
      <c r="B51" s="113">
        <v>3884.15</v>
      </c>
      <c r="C51" s="112">
        <f t="shared" si="2"/>
        <v>1.1352540651729637E-2</v>
      </c>
      <c r="F51" s="113">
        <v>22338.75</v>
      </c>
      <c r="G51" s="112">
        <f t="shared" si="3"/>
        <v>5.6746816010659895E-3</v>
      </c>
    </row>
    <row r="52" spans="1:7">
      <c r="A52" s="114">
        <v>45354</v>
      </c>
      <c r="B52" s="113">
        <v>3925.95</v>
      </c>
      <c r="C52" s="112">
        <f t="shared" si="2"/>
        <v>1.076168531081434E-2</v>
      </c>
      <c r="F52" s="113">
        <v>22493.55</v>
      </c>
      <c r="G52" s="112">
        <f t="shared" si="3"/>
        <v>6.929662581836471E-3</v>
      </c>
    </row>
    <row r="53" spans="1:7">
      <c r="A53" s="114">
        <v>45361</v>
      </c>
      <c r="B53" s="113">
        <v>3932.1</v>
      </c>
      <c r="C53" s="112">
        <f t="shared" si="2"/>
        <v>1.5664998280671139E-3</v>
      </c>
      <c r="F53" s="113">
        <v>22023.35</v>
      </c>
      <c r="G53" s="112">
        <f t="shared" si="3"/>
        <v>-2.0903770191899484E-2</v>
      </c>
    </row>
    <row r="54" spans="1:7">
      <c r="A54" s="114">
        <v>45368</v>
      </c>
      <c r="B54" s="113">
        <v>4297.6000000000004</v>
      </c>
      <c r="C54" s="112">
        <f t="shared" si="2"/>
        <v>9.2952875054042483E-2</v>
      </c>
      <c r="F54" s="113">
        <v>22096.75</v>
      </c>
      <c r="G54" s="112">
        <f t="shared" si="3"/>
        <v>3.3328262957270649E-3</v>
      </c>
    </row>
    <row r="55" spans="1:7">
      <c r="A55" s="114">
        <v>45375</v>
      </c>
      <c r="B55" s="113">
        <v>4525.6000000000004</v>
      </c>
      <c r="C55" s="112">
        <f t="shared" si="2"/>
        <v>5.3052866716306823E-2</v>
      </c>
      <c r="F55" s="113">
        <v>22326.9</v>
      </c>
      <c r="G55" s="112">
        <f t="shared" si="3"/>
        <v>1.0415558849152129E-2</v>
      </c>
    </row>
    <row r="56" spans="1:7">
      <c r="A56" s="114">
        <v>45382</v>
      </c>
      <c r="B56" s="113">
        <v>4619.25</v>
      </c>
      <c r="C56" s="112">
        <f t="shared" si="2"/>
        <v>2.0693388721937378E-2</v>
      </c>
      <c r="F56" s="113">
        <v>22513.7</v>
      </c>
      <c r="G56" s="112">
        <f t="shared" si="3"/>
        <v>8.3665891816597782E-3</v>
      </c>
    </row>
    <row r="57" spans="1:7">
      <c r="A57" s="114">
        <v>45389</v>
      </c>
      <c r="B57" s="113">
        <v>4765.05</v>
      </c>
      <c r="C57" s="112">
        <f t="shared" si="2"/>
        <v>3.1563565513882175E-2</v>
      </c>
      <c r="F57" s="113">
        <v>22519.4</v>
      </c>
      <c r="G57" s="112">
        <f t="shared" si="3"/>
        <v>2.5317917534661838E-4</v>
      </c>
    </row>
    <row r="58" spans="1:7">
      <c r="A58" s="114">
        <v>45396</v>
      </c>
      <c r="B58" s="113">
        <v>4696</v>
      </c>
      <c r="C58" s="112">
        <f t="shared" si="2"/>
        <v>-1.4490928741566211E-2</v>
      </c>
      <c r="F58" s="113">
        <v>22147</v>
      </c>
      <c r="G58" s="112">
        <f t="shared" si="3"/>
        <v>-1.6536852669254087E-2</v>
      </c>
    </row>
    <row r="59" spans="1:7">
      <c r="A59" s="114">
        <v>45403</v>
      </c>
      <c r="B59" s="113">
        <v>4553.1499999999996</v>
      </c>
      <c r="C59" s="112">
        <f t="shared" si="2"/>
        <v>-3.0419505962521409E-2</v>
      </c>
      <c r="F59" s="113">
        <v>22419.95</v>
      </c>
      <c r="G59" s="112">
        <f t="shared" si="3"/>
        <v>1.2324468325281002E-2</v>
      </c>
    </row>
    <row r="60" spans="1:7">
      <c r="A60" s="114">
        <v>45410</v>
      </c>
      <c r="B60" s="113">
        <v>4612.3500000000004</v>
      </c>
      <c r="C60" s="112">
        <f t="shared" si="2"/>
        <v>1.300198763493432E-2</v>
      </c>
      <c r="F60" s="113">
        <v>22475.85</v>
      </c>
      <c r="G60" s="112">
        <f t="shared" si="3"/>
        <v>2.4933151055197555E-3</v>
      </c>
    </row>
    <row r="61" spans="1:7">
      <c r="A61" s="114">
        <v>45417</v>
      </c>
      <c r="B61" s="113">
        <v>4796.8</v>
      </c>
      <c r="C61" s="112">
        <f t="shared" si="2"/>
        <v>3.9990460394375926E-2</v>
      </c>
      <c r="F61" s="113">
        <v>22055.200000000001</v>
      </c>
      <c r="G61" s="112">
        <f t="shared" si="3"/>
        <v>-1.8715643679771743E-2</v>
      </c>
    </row>
    <row r="62" spans="1:7">
      <c r="A62" s="114">
        <v>45424</v>
      </c>
      <c r="B62" s="113">
        <v>4682.8999999999996</v>
      </c>
      <c r="C62" s="112">
        <f t="shared" si="2"/>
        <v>-2.3744996664443074E-2</v>
      </c>
      <c r="F62" s="113">
        <v>22466.1</v>
      </c>
      <c r="G62" s="112">
        <f t="shared" si="3"/>
        <v>1.8630527041241907E-2</v>
      </c>
    </row>
    <row r="63" spans="1:7">
      <c r="A63" s="114">
        <v>45431</v>
      </c>
      <c r="B63" s="113">
        <v>4684.5</v>
      </c>
      <c r="C63" s="112">
        <f t="shared" si="2"/>
        <v>3.4166862414330978E-4</v>
      </c>
      <c r="F63" s="113">
        <v>22957.1</v>
      </c>
      <c r="G63" s="112">
        <f t="shared" si="3"/>
        <v>2.1855150649200406E-2</v>
      </c>
    </row>
    <row r="64" spans="1:7">
      <c r="A64" s="114">
        <v>45438</v>
      </c>
      <c r="B64" s="113">
        <v>4302.1499999999996</v>
      </c>
      <c r="C64" s="112">
        <f t="shared" si="2"/>
        <v>-8.1620236951649106E-2</v>
      </c>
      <c r="F64" s="113">
        <v>22530.7</v>
      </c>
      <c r="G64" s="112">
        <f t="shared" si="3"/>
        <v>-1.8573774562117951E-2</v>
      </c>
    </row>
    <row r="65" spans="1:7">
      <c r="A65" s="114">
        <v>45445</v>
      </c>
      <c r="B65" s="113">
        <v>4747.25</v>
      </c>
      <c r="C65" s="112">
        <f t="shared" si="2"/>
        <v>0.10345989795799793</v>
      </c>
      <c r="F65" s="113">
        <v>23290.15</v>
      </c>
      <c r="G65" s="112">
        <f t="shared" si="3"/>
        <v>3.3707341538434354E-2</v>
      </c>
    </row>
    <row r="66" spans="1:7">
      <c r="A66" s="114">
        <v>45452</v>
      </c>
      <c r="B66" s="113">
        <v>4739.95</v>
      </c>
      <c r="C66" s="112">
        <f t="shared" si="2"/>
        <v>-1.5377323713728908E-3</v>
      </c>
      <c r="F66" s="113">
        <v>23465.599999999999</v>
      </c>
      <c r="G66" s="112">
        <f t="shared" si="3"/>
        <v>7.5332275661599279E-3</v>
      </c>
    </row>
    <row r="67" spans="1:7">
      <c r="A67" s="114">
        <v>45459</v>
      </c>
      <c r="B67" s="113">
        <v>4804.8500000000004</v>
      </c>
      <c r="C67" s="112">
        <f t="shared" si="2"/>
        <v>1.3692127554088218E-2</v>
      </c>
      <c r="F67" s="113">
        <v>23501.1</v>
      </c>
      <c r="G67" s="112">
        <f t="shared" si="3"/>
        <v>1.5128528569481325E-3</v>
      </c>
    </row>
    <row r="68" spans="1:7">
      <c r="A68" s="114">
        <v>45466</v>
      </c>
      <c r="B68" s="113">
        <v>4716.75</v>
      </c>
      <c r="C68" s="112">
        <f t="shared" si="2"/>
        <v>-1.8335640030386013E-2</v>
      </c>
      <c r="F68" s="113">
        <v>24010.6</v>
      </c>
      <c r="G68" s="112">
        <f t="shared" si="3"/>
        <v>2.1679836262983532E-2</v>
      </c>
    </row>
    <row r="69" spans="1:7">
      <c r="A69" s="114">
        <v>45473</v>
      </c>
      <c r="B69" s="113">
        <v>4853.1000000000004</v>
      </c>
      <c r="C69" s="112">
        <f t="shared" ref="C69:C100" si="4">B69/B68-1</f>
        <v>2.8907616473207165E-2</v>
      </c>
      <c r="F69" s="113">
        <v>24323.85</v>
      </c>
      <c r="G69" s="112">
        <f t="shared" ref="G69:G100" si="5">F69/F68-1</f>
        <v>1.3046321208133094E-2</v>
      </c>
    </row>
    <row r="70" spans="1:7">
      <c r="A70" s="114">
        <v>45480</v>
      </c>
      <c r="B70" s="113">
        <v>4943.6499999999996</v>
      </c>
      <c r="C70" s="112">
        <f t="shared" si="4"/>
        <v>1.865817724753227E-2</v>
      </c>
      <c r="F70" s="113">
        <v>24502.15</v>
      </c>
      <c r="G70" s="112">
        <f t="shared" si="5"/>
        <v>7.3302540510651326E-3</v>
      </c>
    </row>
    <row r="71" spans="1:7">
      <c r="A71" s="114">
        <v>45487</v>
      </c>
      <c r="B71" s="113">
        <v>5010.7</v>
      </c>
      <c r="C71" s="112">
        <f t="shared" si="4"/>
        <v>1.3562853357337312E-2</v>
      </c>
      <c r="F71" s="113">
        <v>24530.9</v>
      </c>
      <c r="G71" s="112">
        <f t="shared" si="5"/>
        <v>1.1733664188653403E-3</v>
      </c>
    </row>
    <row r="72" spans="1:7">
      <c r="A72" s="114">
        <v>45494</v>
      </c>
      <c r="B72" s="113">
        <v>5071.6000000000004</v>
      </c>
      <c r="C72" s="112">
        <f t="shared" si="4"/>
        <v>1.2153990460414876E-2</v>
      </c>
      <c r="F72" s="113">
        <v>24834.85</v>
      </c>
      <c r="G72" s="112">
        <f t="shared" si="5"/>
        <v>1.2390495252925682E-2</v>
      </c>
    </row>
    <row r="73" spans="1:7">
      <c r="A73" s="114">
        <v>45501</v>
      </c>
      <c r="B73" s="113">
        <v>4909.7</v>
      </c>
      <c r="C73" s="112">
        <f t="shared" si="4"/>
        <v>-3.1922864579225552E-2</v>
      </c>
      <c r="F73" s="113">
        <v>24717.7</v>
      </c>
      <c r="G73" s="112">
        <f t="shared" si="5"/>
        <v>-4.7171615693268887E-3</v>
      </c>
    </row>
    <row r="74" spans="1:7">
      <c r="A74" s="114">
        <v>45508</v>
      </c>
      <c r="B74" s="113">
        <v>4989.95</v>
      </c>
      <c r="C74" s="112">
        <f t="shared" si="4"/>
        <v>1.6345194207385338E-2</v>
      </c>
      <c r="F74" s="113">
        <v>24367.5</v>
      </c>
      <c r="G74" s="112">
        <f t="shared" si="5"/>
        <v>-1.4167984885325113E-2</v>
      </c>
    </row>
    <row r="75" spans="1:7">
      <c r="A75" s="114">
        <v>45515</v>
      </c>
      <c r="B75" s="113">
        <v>5021.3</v>
      </c>
      <c r="C75" s="112">
        <f t="shared" si="4"/>
        <v>6.2826280824457292E-3</v>
      </c>
      <c r="F75" s="113">
        <v>24541.15</v>
      </c>
      <c r="G75" s="112">
        <f t="shared" si="5"/>
        <v>7.1262952703396998E-3</v>
      </c>
    </row>
    <row r="76" spans="1:7">
      <c r="A76" s="114">
        <v>45522</v>
      </c>
      <c r="B76" s="113">
        <v>4901.5</v>
      </c>
      <c r="C76" s="112">
        <f t="shared" si="4"/>
        <v>-2.3858363372035174E-2</v>
      </c>
      <c r="F76" s="113">
        <v>24823.15</v>
      </c>
      <c r="G76" s="112">
        <f t="shared" si="5"/>
        <v>1.1490904052988471E-2</v>
      </c>
    </row>
    <row r="77" spans="1:7">
      <c r="A77" s="114">
        <v>45529</v>
      </c>
      <c r="B77" s="113">
        <v>4927.45</v>
      </c>
      <c r="C77" s="112">
        <f t="shared" si="4"/>
        <v>5.2942976639804851E-3</v>
      </c>
      <c r="F77" s="113">
        <v>25235.9</v>
      </c>
      <c r="G77" s="112">
        <f t="shared" si="5"/>
        <v>1.6627623810837822E-2</v>
      </c>
    </row>
    <row r="78" spans="1:7">
      <c r="A78" s="114">
        <v>45536</v>
      </c>
      <c r="B78" s="113">
        <v>5303.45</v>
      </c>
      <c r="C78" s="112">
        <f t="shared" si="4"/>
        <v>7.630721772925142E-2</v>
      </c>
      <c r="F78" s="113">
        <v>24852.15</v>
      </c>
      <c r="G78" s="112">
        <f t="shared" si="5"/>
        <v>-1.5206511358818231E-2</v>
      </c>
    </row>
    <row r="79" spans="1:7">
      <c r="A79" s="114">
        <v>45543</v>
      </c>
      <c r="B79" s="113">
        <v>5187.05</v>
      </c>
      <c r="C79" s="112">
        <f t="shared" si="4"/>
        <v>-2.194797726008535E-2</v>
      </c>
      <c r="F79" s="113">
        <v>25356.5</v>
      </c>
      <c r="G79" s="112">
        <f t="shared" si="5"/>
        <v>2.0294018827344829E-2</v>
      </c>
    </row>
    <row r="80" spans="1:7">
      <c r="A80" s="114">
        <v>45550</v>
      </c>
      <c r="B80" s="113">
        <v>5320.55</v>
      </c>
      <c r="C80" s="112">
        <f t="shared" si="4"/>
        <v>2.5737172381218532E-2</v>
      </c>
      <c r="F80" s="113">
        <v>25790.95</v>
      </c>
      <c r="G80" s="112">
        <f t="shared" si="5"/>
        <v>1.7133673811448702E-2</v>
      </c>
    </row>
    <row r="81" spans="1:7">
      <c r="A81" s="114">
        <v>45557</v>
      </c>
      <c r="B81" s="113">
        <v>5102.3</v>
      </c>
      <c r="C81" s="112">
        <f t="shared" si="4"/>
        <v>-4.102019528056311E-2</v>
      </c>
      <c r="F81" s="113">
        <v>26178.95</v>
      </c>
      <c r="G81" s="112">
        <f t="shared" si="5"/>
        <v>1.5044036764834123E-2</v>
      </c>
    </row>
    <row r="82" spans="1:7">
      <c r="A82" s="114">
        <v>45564</v>
      </c>
      <c r="B82" s="113">
        <v>4737.55</v>
      </c>
      <c r="C82" s="112">
        <f t="shared" si="4"/>
        <v>-7.148736844168313E-2</v>
      </c>
      <c r="F82" s="113">
        <v>25014.6</v>
      </c>
      <c r="G82" s="112">
        <f t="shared" si="5"/>
        <v>-4.4476573735768743E-2</v>
      </c>
    </row>
    <row r="83" spans="1:7">
      <c r="A83" s="114">
        <v>45571</v>
      </c>
      <c r="B83" s="113">
        <v>4572.7</v>
      </c>
      <c r="C83" s="112">
        <f t="shared" si="4"/>
        <v>-3.479646652805779E-2</v>
      </c>
      <c r="F83" s="113">
        <v>24964.25</v>
      </c>
      <c r="G83" s="112">
        <f t="shared" si="5"/>
        <v>-2.0128245104857889E-3</v>
      </c>
    </row>
    <row r="84" spans="1:7">
      <c r="A84" s="114">
        <v>45578</v>
      </c>
      <c r="B84" s="113">
        <v>3986.7</v>
      </c>
      <c r="C84" s="112">
        <f t="shared" si="4"/>
        <v>-0.12815185776455928</v>
      </c>
      <c r="F84" s="113">
        <v>24854.05</v>
      </c>
      <c r="G84" s="112">
        <f t="shared" si="5"/>
        <v>-4.4143124668275524E-3</v>
      </c>
    </row>
    <row r="85" spans="1:7">
      <c r="A85" s="114">
        <v>45585</v>
      </c>
      <c r="B85" s="113">
        <v>4052.2</v>
      </c>
      <c r="C85" s="112">
        <f t="shared" si="4"/>
        <v>1.6429628514811778E-2</v>
      </c>
      <c r="F85" s="113">
        <v>24180.799999999999</v>
      </c>
      <c r="G85" s="112">
        <f t="shared" si="5"/>
        <v>-2.7088140564616281E-2</v>
      </c>
    </row>
    <row r="86" spans="1:7">
      <c r="A86" s="114">
        <v>45592</v>
      </c>
      <c r="B86" s="113">
        <v>4001.6</v>
      </c>
      <c r="C86" s="112">
        <f t="shared" si="4"/>
        <v>-1.2487044074823483E-2</v>
      </c>
      <c r="F86" s="113">
        <v>24304.35</v>
      </c>
      <c r="G86" s="112">
        <f t="shared" si="5"/>
        <v>5.1094256600276999E-3</v>
      </c>
    </row>
    <row r="87" spans="1:7">
      <c r="A87" s="114">
        <v>45599</v>
      </c>
      <c r="B87" s="113">
        <v>3874.5</v>
      </c>
      <c r="C87" s="112">
        <f t="shared" si="4"/>
        <v>-3.1762295081967151E-2</v>
      </c>
      <c r="F87" s="113">
        <v>24148.2</v>
      </c>
      <c r="G87" s="112">
        <f t="shared" si="5"/>
        <v>-6.4247758117372822E-3</v>
      </c>
    </row>
    <row r="88" spans="1:7">
      <c r="A88" s="114">
        <v>45606</v>
      </c>
      <c r="B88" s="113">
        <v>3823.85</v>
      </c>
      <c r="C88" s="112">
        <f t="shared" si="4"/>
        <v>-1.3072654536069206E-2</v>
      </c>
      <c r="F88" s="113">
        <v>23532.7</v>
      </c>
      <c r="G88" s="112">
        <f t="shared" si="5"/>
        <v>-2.5488442202731498E-2</v>
      </c>
    </row>
    <row r="89" spans="1:7">
      <c r="A89" s="114">
        <v>45613</v>
      </c>
      <c r="B89" s="113">
        <v>3613.65</v>
      </c>
      <c r="C89" s="112">
        <f t="shared" si="4"/>
        <v>-5.4970775527282689E-2</v>
      </c>
      <c r="F89" s="113">
        <v>23907.25</v>
      </c>
      <c r="G89" s="112">
        <f t="shared" si="5"/>
        <v>1.5916150717937061E-2</v>
      </c>
    </row>
    <row r="90" spans="1:7">
      <c r="A90" s="114">
        <v>45620</v>
      </c>
      <c r="B90" s="113">
        <v>3709.6</v>
      </c>
      <c r="C90" s="112">
        <f t="shared" si="4"/>
        <v>2.6552101061253719E-2</v>
      </c>
      <c r="F90" s="113">
        <v>24131.1</v>
      </c>
      <c r="G90" s="112">
        <f t="shared" si="5"/>
        <v>9.3632684645870157E-3</v>
      </c>
    </row>
    <row r="91" spans="1:7">
      <c r="A91" s="114">
        <v>45627</v>
      </c>
      <c r="B91" s="113">
        <v>3805.55</v>
      </c>
      <c r="C91" s="112">
        <f t="shared" si="4"/>
        <v>2.5865322406728453E-2</v>
      </c>
      <c r="F91" s="113">
        <v>24677.8</v>
      </c>
      <c r="G91" s="112">
        <f t="shared" si="5"/>
        <v>2.2655411481449228E-2</v>
      </c>
    </row>
    <row r="92" spans="1:7">
      <c r="A92" s="114">
        <v>45634</v>
      </c>
      <c r="B92" s="113">
        <v>3652.3</v>
      </c>
      <c r="C92" s="112">
        <f t="shared" si="4"/>
        <v>-4.0270131781214302E-2</v>
      </c>
      <c r="F92" s="113">
        <v>24768.3</v>
      </c>
      <c r="G92" s="112">
        <f t="shared" si="5"/>
        <v>3.6672636944945491E-3</v>
      </c>
    </row>
    <row r="93" spans="1:7">
      <c r="A93" s="114">
        <v>45641</v>
      </c>
      <c r="B93" s="113">
        <v>3408.3</v>
      </c>
      <c r="C93" s="112">
        <f t="shared" si="4"/>
        <v>-6.6807217369876493E-2</v>
      </c>
      <c r="F93" s="113">
        <v>23587.5</v>
      </c>
      <c r="G93" s="112">
        <f t="shared" si="5"/>
        <v>-4.7673841159869612E-2</v>
      </c>
    </row>
    <row r="94" spans="1:7">
      <c r="A94" s="114">
        <v>45648</v>
      </c>
      <c r="B94" s="113">
        <v>3568.35</v>
      </c>
      <c r="C94" s="112">
        <f t="shared" si="4"/>
        <v>4.6958894463515533E-2</v>
      </c>
      <c r="F94" s="113">
        <v>23813.4</v>
      </c>
      <c r="G94" s="112">
        <f t="shared" si="5"/>
        <v>9.5771065182830295E-3</v>
      </c>
    </row>
    <row r="95" spans="1:7">
      <c r="A95" s="114">
        <v>45655</v>
      </c>
      <c r="B95" s="113">
        <v>4025.2</v>
      </c>
      <c r="C95" s="112">
        <f t="shared" si="4"/>
        <v>0.12802836044670496</v>
      </c>
      <c r="F95" s="113">
        <v>24004.75</v>
      </c>
      <c r="G95" s="112">
        <f t="shared" si="5"/>
        <v>8.035391838208783E-3</v>
      </c>
    </row>
    <row r="96" spans="1:7">
      <c r="A96" s="114">
        <v>45662</v>
      </c>
      <c r="B96" s="113">
        <v>3686.25</v>
      </c>
      <c r="C96" s="112">
        <f t="shared" si="4"/>
        <v>-8.4206995925668271E-2</v>
      </c>
      <c r="F96" s="113">
        <v>23431.5</v>
      </c>
      <c r="G96" s="112">
        <f t="shared" si="5"/>
        <v>-2.3880690280048689E-2</v>
      </c>
    </row>
    <row r="97" spans="1:14">
      <c r="A97" s="114">
        <v>45669</v>
      </c>
      <c r="B97" s="113">
        <v>3620.65</v>
      </c>
      <c r="C97" s="112">
        <f t="shared" si="4"/>
        <v>-1.7795863004408274E-2</v>
      </c>
      <c r="F97" s="113">
        <v>23203.200000000001</v>
      </c>
      <c r="G97" s="112">
        <f t="shared" si="5"/>
        <v>-9.7432942833365344E-3</v>
      </c>
    </row>
    <row r="98" spans="1:14">
      <c r="A98" s="114">
        <v>45676</v>
      </c>
      <c r="B98" s="113">
        <v>3579.95</v>
      </c>
      <c r="C98" s="112">
        <f t="shared" si="4"/>
        <v>-1.1241075497493647E-2</v>
      </c>
      <c r="F98" s="113">
        <v>23092.2</v>
      </c>
      <c r="G98" s="112">
        <f t="shared" si="5"/>
        <v>-4.7838229209764549E-3</v>
      </c>
    </row>
    <row r="99" spans="1:14">
      <c r="A99" s="114">
        <v>45683</v>
      </c>
      <c r="B99" s="113">
        <v>3664.65</v>
      </c>
      <c r="C99" s="112">
        <f t="shared" si="4"/>
        <v>2.3659548317713996E-2</v>
      </c>
      <c r="F99" s="113">
        <v>23508.400000000001</v>
      </c>
      <c r="G99" s="112">
        <f t="shared" si="5"/>
        <v>1.8023401841314346E-2</v>
      </c>
    </row>
    <row r="100" spans="1:14">
      <c r="A100" s="114">
        <v>45690</v>
      </c>
      <c r="B100" s="113">
        <v>3743.5</v>
      </c>
      <c r="C100" s="112">
        <f t="shared" si="4"/>
        <v>2.1516379463250246E-2</v>
      </c>
      <c r="F100" s="113">
        <v>23559.95</v>
      </c>
      <c r="G100" s="112">
        <f t="shared" si="5"/>
        <v>2.1928332000475947E-3</v>
      </c>
    </row>
    <row r="101" spans="1:14">
      <c r="A101" s="114">
        <v>45697</v>
      </c>
      <c r="B101" s="113">
        <v>3682.65</v>
      </c>
      <c r="C101" s="112">
        <f t="shared" ref="C101:C132" si="6">B101/B100-1</f>
        <v>-1.6254841725657831E-2</v>
      </c>
      <c r="F101" s="113">
        <v>22929.25</v>
      </c>
      <c r="G101" s="112">
        <f t="shared" ref="G101:G132" si="7">F101/F100-1</f>
        <v>-2.6770005878620329E-2</v>
      </c>
    </row>
    <row r="102" spans="1:14">
      <c r="A102" s="114">
        <v>45704</v>
      </c>
      <c r="B102" s="113">
        <v>3596.7</v>
      </c>
      <c r="C102" s="112">
        <f t="shared" si="6"/>
        <v>-2.3339171520508351E-2</v>
      </c>
      <c r="F102" s="113">
        <v>22795.9</v>
      </c>
      <c r="G102" s="112">
        <f t="shared" si="7"/>
        <v>-5.8157157342695331E-3</v>
      </c>
    </row>
    <row r="103" spans="1:14">
      <c r="A103" s="114">
        <v>45711</v>
      </c>
      <c r="B103" s="113">
        <v>3403.95</v>
      </c>
      <c r="C103" s="112">
        <f t="shared" si="6"/>
        <v>-5.3590791558928985E-2</v>
      </c>
      <c r="F103" s="113">
        <v>22124.7</v>
      </c>
      <c r="G103" s="112">
        <f t="shared" si="7"/>
        <v>-2.9443891226053842E-2</v>
      </c>
      <c r="M103" s="109" t="s">
        <v>264</v>
      </c>
    </row>
    <row r="104" spans="1:14" ht="15.75" thickBot="1">
      <c r="A104" s="114">
        <v>45718</v>
      </c>
      <c r="B104" s="113">
        <v>3593.6</v>
      </c>
      <c r="C104" s="112">
        <f t="shared" si="6"/>
        <v>5.5714684410758109E-2</v>
      </c>
      <c r="F104" s="113">
        <v>22552.5</v>
      </c>
      <c r="G104" s="112">
        <f t="shared" si="7"/>
        <v>1.9335855401429125E-2</v>
      </c>
    </row>
    <row r="105" spans="1:14">
      <c r="A105" s="114">
        <v>45725</v>
      </c>
      <c r="B105" s="113">
        <v>3797.1</v>
      </c>
      <c r="C105" s="112">
        <f t="shared" si="6"/>
        <v>5.6628450578806833E-2</v>
      </c>
      <c r="F105" s="113">
        <v>22397.200000000001</v>
      </c>
      <c r="G105" s="112">
        <f t="shared" si="7"/>
        <v>-6.8861545283227521E-3</v>
      </c>
      <c r="M105" s="115" t="s">
        <v>263</v>
      </c>
      <c r="N105" s="115"/>
    </row>
    <row r="106" spans="1:14">
      <c r="A106" s="114">
        <v>45732</v>
      </c>
      <c r="B106" s="113">
        <v>3892.2</v>
      </c>
      <c r="C106" s="112">
        <f t="shared" si="6"/>
        <v>2.5045429406652442E-2</v>
      </c>
      <c r="F106" s="113">
        <v>23350.400000000001</v>
      </c>
      <c r="G106" s="112">
        <f t="shared" si="7"/>
        <v>4.2558891289982803E-2</v>
      </c>
      <c r="M106" s="109" t="s">
        <v>262</v>
      </c>
      <c r="N106" s="109">
        <v>0.41785323552732317</v>
      </c>
    </row>
    <row r="107" spans="1:14">
      <c r="A107" s="114">
        <v>45739</v>
      </c>
      <c r="B107" s="113">
        <v>4083.2</v>
      </c>
      <c r="C107" s="112">
        <f t="shared" si="6"/>
        <v>4.9072503982323656E-2</v>
      </c>
      <c r="F107" s="113">
        <v>23519.35</v>
      </c>
      <c r="G107" s="112">
        <f t="shared" si="7"/>
        <v>7.2354220912702605E-3</v>
      </c>
      <c r="M107" s="109" t="s">
        <v>261</v>
      </c>
      <c r="N107" s="109">
        <v>0.17460132644065263</v>
      </c>
    </row>
    <row r="108" spans="1:14">
      <c r="A108" s="114">
        <v>45746</v>
      </c>
      <c r="B108" s="113">
        <v>4039.9</v>
      </c>
      <c r="C108" s="112">
        <f t="shared" si="6"/>
        <v>-1.0604427899686408E-2</v>
      </c>
      <c r="F108" s="113">
        <v>22904.45</v>
      </c>
      <c r="G108" s="112">
        <f t="shared" si="7"/>
        <v>-2.6144430011883713E-2</v>
      </c>
      <c r="M108" s="109" t="s">
        <v>260</v>
      </c>
      <c r="N108" s="109">
        <v>0.16650918258222766</v>
      </c>
    </row>
    <row r="109" spans="1:14">
      <c r="M109" s="109" t="s">
        <v>249</v>
      </c>
      <c r="N109" s="109">
        <v>3.7973142738656963E-2</v>
      </c>
    </row>
    <row r="110" spans="1:14" ht="15.75" thickBot="1">
      <c r="M110" s="110" t="s">
        <v>259</v>
      </c>
      <c r="N110" s="110">
        <v>104</v>
      </c>
    </row>
    <row r="112" spans="1:14" ht="15.75" thickBot="1">
      <c r="M112" s="109" t="s">
        <v>258</v>
      </c>
    </row>
    <row r="113" spans="13:21">
      <c r="M113" s="111"/>
      <c r="N113" s="111" t="s">
        <v>257</v>
      </c>
      <c r="O113" s="111" t="s">
        <v>256</v>
      </c>
      <c r="P113" s="111" t="s">
        <v>255</v>
      </c>
      <c r="Q113" s="111" t="s">
        <v>254</v>
      </c>
      <c r="R113" s="111" t="s">
        <v>253</v>
      </c>
    </row>
    <row r="114" spans="13:21">
      <c r="M114" s="109" t="s">
        <v>252</v>
      </c>
      <c r="N114" s="109">
        <v>1</v>
      </c>
      <c r="O114" s="109">
        <v>3.1112651715615725E-2</v>
      </c>
      <c r="P114" s="109">
        <v>3.1112651715615725E-2</v>
      </c>
      <c r="Q114" s="109">
        <v>21.576646373985298</v>
      </c>
      <c r="R114" s="109">
        <v>1.017394746751788E-5</v>
      </c>
    </row>
    <row r="115" spans="13:21">
      <c r="M115" s="109" t="s">
        <v>251</v>
      </c>
      <c r="N115" s="109">
        <v>102</v>
      </c>
      <c r="O115" s="109">
        <v>0.14707987608394243</v>
      </c>
      <c r="P115" s="109">
        <v>1.4419595694504161E-3</v>
      </c>
    </row>
    <row r="116" spans="13:21" ht="15.75" thickBot="1">
      <c r="M116" s="110" t="s">
        <v>14</v>
      </c>
      <c r="N116" s="110">
        <v>103</v>
      </c>
      <c r="O116" s="110">
        <v>0.17819252779955816</v>
      </c>
      <c r="P116" s="110"/>
      <c r="Q116" s="110"/>
      <c r="R116" s="110"/>
    </row>
    <row r="117" spans="13:21" ht="15.75" thickBot="1"/>
    <row r="118" spans="13:21">
      <c r="M118" s="111"/>
      <c r="N118" s="111" t="s">
        <v>250</v>
      </c>
      <c r="O118" s="111" t="s">
        <v>249</v>
      </c>
      <c r="P118" s="111" t="s">
        <v>248</v>
      </c>
      <c r="Q118" s="111" t="s">
        <v>247</v>
      </c>
      <c r="R118" s="111" t="s">
        <v>246</v>
      </c>
      <c r="S118" s="111" t="s">
        <v>245</v>
      </c>
      <c r="T118" s="111" t="s">
        <v>244</v>
      </c>
      <c r="U118" s="111" t="s">
        <v>243</v>
      </c>
    </row>
    <row r="119" spans="13:21">
      <c r="M119" s="109" t="s">
        <v>242</v>
      </c>
      <c r="N119" s="109">
        <v>-5.899394735245202E-4</v>
      </c>
      <c r="O119" s="109">
        <v>3.773293878918543E-3</v>
      </c>
      <c r="P119" s="109">
        <v>-0.15634601821515204</v>
      </c>
      <c r="Q119" s="109">
        <v>0.87606931377089758</v>
      </c>
      <c r="R119" s="109">
        <v>-8.0742497879265282E-3</v>
      </c>
      <c r="S119" s="109">
        <v>6.8943708408774887E-3</v>
      </c>
      <c r="T119" s="109">
        <v>-8.0742497879265282E-3</v>
      </c>
      <c r="U119" s="109">
        <v>6.8943708408774887E-3</v>
      </c>
    </row>
    <row r="120" spans="13:21" ht="15.75" thickBot="1">
      <c r="M120" s="110" t="s">
        <v>241</v>
      </c>
      <c r="N120" s="110">
        <v>1.0622810818741086</v>
      </c>
      <c r="O120" s="110">
        <v>0.2286901583938292</v>
      </c>
      <c r="P120" s="110">
        <v>4.6450668858462452</v>
      </c>
      <c r="Q120" s="110">
        <v>1.0173947467517868E-5</v>
      </c>
      <c r="R120" s="110">
        <v>0.6086752493594888</v>
      </c>
      <c r="S120" s="110">
        <v>1.5158869143887286</v>
      </c>
      <c r="T120" s="110">
        <v>0.6086752493594888</v>
      </c>
      <c r="U120" s="110">
        <v>1.5158869143887286</v>
      </c>
    </row>
  </sheetData>
  <mergeCells count="2">
    <mergeCell ref="F2:G2"/>
    <mergeCell ref="J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SHEET</vt:lpstr>
      <vt:lpstr>HISTORICAL FS</vt:lpstr>
      <vt:lpstr>CASH FLOW DATA</vt:lpstr>
      <vt:lpstr>RATIO ANALYSIS </vt:lpstr>
      <vt:lpstr>STATEMENTS</vt:lpstr>
      <vt:lpstr>RAW DATA</vt:lpstr>
      <vt:lpstr>PEER COMPARISON</vt:lpstr>
      <vt:lpstr>DCF MODELLING</vt:lpstr>
      <vt:lpstr>BETA CALCULATION</vt:lpstr>
      <vt:lpstr>BETA CALCULATION (2)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Satakshi Jain</cp:lastModifiedBy>
  <cp:lastPrinted>2012-12-06T18:14:00Z</cp:lastPrinted>
  <dcterms:created xsi:type="dcterms:W3CDTF">2012-08-17T09:55:00Z</dcterms:created>
  <dcterms:modified xsi:type="dcterms:W3CDTF">2026-01-11T06:02:02Z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126A5F08EF85432EB628421DD63D5385_12</vt:lpwstr>
  </property>
  <property fmtid="{D5CDD505-2E9C-101B-9397-08002B2CF9AE}" pid="3" name="KSOProductBuildVer">
    <vt:lpwstr>1033-12.2.0.20326</vt:lpwstr>
  </property>
</Properties>
</file>